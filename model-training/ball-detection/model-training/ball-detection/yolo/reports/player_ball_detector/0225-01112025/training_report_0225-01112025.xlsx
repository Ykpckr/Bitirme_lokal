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2025-11-01 02:25:04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N/A</t>
        </is>
      </c>
    </row>
    <row r="7">
      <c r="A7" t="inlineStr">
        <is>
          <t>Epochs</t>
        </is>
      </c>
      <c r="B7" t="inlineStr">
        <is>
          <t>N/A</t>
        </is>
      </c>
    </row>
    <row r="8">
      <c r="A8" t="inlineStr">
        <is>
          <t>Batch Size</t>
        </is>
      </c>
      <c r="B8" t="inlineStr">
        <is>
          <t>N/A</t>
        </is>
      </c>
    </row>
    <row r="9">
      <c r="A9" t="inlineStr">
        <is>
          <t>Image Size</t>
        </is>
      </c>
      <c r="B9" t="inlineStr">
        <is>
          <t>N/A</t>
        </is>
      </c>
    </row>
    <row r="10">
      <c r="A10" t="inlineStr">
        <is>
          <t>Model Path</t>
        </is>
      </c>
      <c r="B10" t="inlineStr">
        <is>
          <t>C:\Users\Admin\Desktop\bitirme\FoMACBitirme\model-training\ball-detection\models\player_ball_detector\weights\best.pt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N/A</t>
        </is>
      </c>
    </row>
    <row r="14">
      <c r="A14" t="inlineStr">
        <is>
          <t>Learning Rate</t>
        </is>
      </c>
      <c r="B14" t="inlineStr">
        <is>
          <t>N/A</t>
        </is>
      </c>
    </row>
    <row r="15">
      <c r="A15" t="inlineStr">
        <is>
          <t>Device</t>
        </is>
      </c>
      <c r="B15" t="inlineStr">
        <is>
          <t>N/A</t>
        </is>
      </c>
    </row>
    <row r="16">
      <c r="A16" t="inlineStr">
        <is>
          <t>Workers</t>
        </is>
      </c>
      <c r="B16" t="inlineStr">
        <is>
          <t>N/A</t>
        </is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214.915</v>
      </c>
      <c r="C2" t="n">
        <v>1.79742</v>
      </c>
      <c r="D2" t="n">
        <v>1.36856</v>
      </c>
      <c r="E2" t="n">
        <v>1.92289</v>
      </c>
      <c r="F2" t="n">
        <v>0.33755</v>
      </c>
      <c r="G2" t="n">
        <v>0.31794</v>
      </c>
      <c r="H2" t="n">
        <v>0.32725</v>
      </c>
      <c r="I2" t="n">
        <v>0.16624</v>
      </c>
      <c r="J2" t="n">
        <v>1.75629</v>
      </c>
      <c r="K2" t="n">
        <v>1.18064</v>
      </c>
      <c r="L2" t="n">
        <v>2.10881</v>
      </c>
      <c r="M2" t="n">
        <v>0.0755338</v>
      </c>
      <c r="N2" t="n">
        <v>0.000499309</v>
      </c>
      <c r="O2" t="n">
        <v>0.000499309</v>
      </c>
    </row>
    <row r="3">
      <c r="A3" t="n">
        <v>2</v>
      </c>
      <c r="B3" t="n">
        <v>565.058</v>
      </c>
      <c r="C3" t="n">
        <v>1.63753</v>
      </c>
      <c r="D3" t="n">
        <v>1.03342</v>
      </c>
      <c r="E3" t="n">
        <v>1.78371</v>
      </c>
      <c r="F3" t="n">
        <v>0.48968</v>
      </c>
      <c r="G3" t="n">
        <v>0.43675</v>
      </c>
      <c r="H3" t="n">
        <v>0.42556</v>
      </c>
      <c r="I3" t="n">
        <v>0.22161</v>
      </c>
      <c r="J3" t="n">
        <v>1.60271</v>
      </c>
      <c r="K3" t="n">
        <v>1.09946</v>
      </c>
      <c r="L3" t="n">
        <v>2.0374</v>
      </c>
      <c r="M3" t="n">
        <v>0.0510336</v>
      </c>
      <c r="N3" t="n">
        <v>0.0009990649999999999</v>
      </c>
      <c r="O3" t="n">
        <v>0.0009990649999999999</v>
      </c>
    </row>
    <row r="4">
      <c r="A4" t="n">
        <v>3</v>
      </c>
      <c r="B4" t="n">
        <v>708.294</v>
      </c>
      <c r="C4" t="n">
        <v>1.59885</v>
      </c>
      <c r="D4" t="n">
        <v>0.96457</v>
      </c>
      <c r="E4" t="n">
        <v>1.75781</v>
      </c>
      <c r="F4" t="n">
        <v>0.54127</v>
      </c>
      <c r="G4" t="n">
        <v>0.51501</v>
      </c>
      <c r="H4" t="n">
        <v>0.45671</v>
      </c>
      <c r="I4" t="n">
        <v>0.2386</v>
      </c>
      <c r="J4" t="n">
        <v>1.6006</v>
      </c>
      <c r="K4" t="n">
        <v>1.1434</v>
      </c>
      <c r="L4" t="n">
        <v>2.01546</v>
      </c>
      <c r="M4" t="n">
        <v>0.0265324</v>
      </c>
      <c r="N4" t="n">
        <v>0.00149784</v>
      </c>
      <c r="O4" t="n">
        <v>0.00149784</v>
      </c>
    </row>
    <row r="5">
      <c r="A5" t="n">
        <v>4</v>
      </c>
      <c r="B5" t="n">
        <v>873.652</v>
      </c>
      <c r="C5" t="n">
        <v>1.56913</v>
      </c>
      <c r="D5" t="n">
        <v>0.91468</v>
      </c>
      <c r="E5" t="n">
        <v>1.73128</v>
      </c>
      <c r="F5" t="n">
        <v>0.59277</v>
      </c>
      <c r="G5" t="n">
        <v>0.52816</v>
      </c>
      <c r="H5" t="n">
        <v>0.5480699999999999</v>
      </c>
      <c r="I5" t="n">
        <v>0.27989</v>
      </c>
      <c r="J5" t="n">
        <v>1.58028</v>
      </c>
      <c r="K5" t="n">
        <v>0.99252</v>
      </c>
      <c r="L5" t="n">
        <v>1.99024</v>
      </c>
      <c r="M5" t="n">
        <v>0.00202945</v>
      </c>
      <c r="N5" t="n">
        <v>0.00199492</v>
      </c>
      <c r="O5" t="n">
        <v>0.00199492</v>
      </c>
    </row>
    <row r="6">
      <c r="A6" t="n">
        <v>5</v>
      </c>
      <c r="B6" t="n">
        <v>1046.7</v>
      </c>
      <c r="C6" t="n">
        <v>1.55285</v>
      </c>
      <c r="D6" t="n">
        <v>0.89088</v>
      </c>
      <c r="E6" t="n">
        <v>1.72591</v>
      </c>
      <c r="F6" t="n">
        <v>0.6756</v>
      </c>
      <c r="G6" t="n">
        <v>0.58784</v>
      </c>
      <c r="H6" t="n">
        <v>0.6075700000000001</v>
      </c>
      <c r="I6" t="n">
        <v>0.30687</v>
      </c>
      <c r="J6" t="n">
        <v>1.62772</v>
      </c>
      <c r="K6" t="n">
        <v>0.96507</v>
      </c>
      <c r="L6" t="n">
        <v>1.98433</v>
      </c>
      <c r="M6" t="n">
        <v>0.00199219</v>
      </c>
      <c r="N6" t="n">
        <v>0.00199219</v>
      </c>
      <c r="O6" t="n">
        <v>0.00199219</v>
      </c>
    </row>
    <row r="7">
      <c r="A7" t="n">
        <v>6</v>
      </c>
      <c r="B7" t="n">
        <v>1208.13</v>
      </c>
      <c r="C7" t="n">
        <v>1.53011</v>
      </c>
      <c r="D7" t="n">
        <v>0.8797</v>
      </c>
      <c r="E7" t="n">
        <v>1.7081</v>
      </c>
      <c r="F7" t="n">
        <v>0.67417</v>
      </c>
      <c r="G7" t="n">
        <v>0.57489</v>
      </c>
      <c r="H7" t="n">
        <v>0.60805</v>
      </c>
      <c r="I7" t="n">
        <v>0.32076</v>
      </c>
      <c r="J7" t="n">
        <v>1.5345</v>
      </c>
      <c r="K7" t="n">
        <v>0.94384</v>
      </c>
      <c r="L7" t="n">
        <v>1.95141</v>
      </c>
      <c r="M7" t="n">
        <v>0.00198781</v>
      </c>
      <c r="N7" t="n">
        <v>0.00198781</v>
      </c>
      <c r="O7" t="n">
        <v>0.00198781</v>
      </c>
    </row>
    <row r="8">
      <c r="A8" t="n">
        <v>7</v>
      </c>
      <c r="B8" t="n">
        <v>1470.65</v>
      </c>
      <c r="C8" t="n">
        <v>1.50165</v>
      </c>
      <c r="D8" t="n">
        <v>0.83718</v>
      </c>
      <c r="E8" t="n">
        <v>1.68301</v>
      </c>
      <c r="F8" t="n">
        <v>0.66873</v>
      </c>
      <c r="G8" t="n">
        <v>0.61152</v>
      </c>
      <c r="H8" t="n">
        <v>0.63733</v>
      </c>
      <c r="I8" t="n">
        <v>0.33745</v>
      </c>
      <c r="J8" t="n">
        <v>1.5433</v>
      </c>
      <c r="K8" t="n">
        <v>0.914</v>
      </c>
      <c r="L8" t="n">
        <v>1.96316</v>
      </c>
      <c r="M8" t="n">
        <v>0.00198246</v>
      </c>
      <c r="N8" t="n">
        <v>0.00198246</v>
      </c>
      <c r="O8" t="n">
        <v>0.00198246</v>
      </c>
    </row>
    <row r="9">
      <c r="A9" t="n">
        <v>8</v>
      </c>
      <c r="B9" t="n">
        <v>1622.09</v>
      </c>
      <c r="C9" t="n">
        <v>1.48998</v>
      </c>
      <c r="D9" t="n">
        <v>0.83075</v>
      </c>
      <c r="E9" t="n">
        <v>1.68181</v>
      </c>
      <c r="F9" t="n">
        <v>0.72046</v>
      </c>
      <c r="G9" t="n">
        <v>0.62583</v>
      </c>
      <c r="H9" t="n">
        <v>0.66334</v>
      </c>
      <c r="I9" t="n">
        <v>0.36149</v>
      </c>
      <c r="J9" t="n">
        <v>1.51191</v>
      </c>
      <c r="K9" t="n">
        <v>0.91884</v>
      </c>
      <c r="L9" t="n">
        <v>1.93918</v>
      </c>
      <c r="M9" t="n">
        <v>0.00197616</v>
      </c>
      <c r="N9" t="n">
        <v>0.00197616</v>
      </c>
      <c r="O9" t="n">
        <v>0.00197616</v>
      </c>
    </row>
    <row r="10">
      <c r="A10" t="n">
        <v>9</v>
      </c>
      <c r="B10" t="n">
        <v>1761.1</v>
      </c>
      <c r="C10" t="n">
        <v>1.46822</v>
      </c>
      <c r="D10" t="n">
        <v>0.80986</v>
      </c>
      <c r="E10" t="n">
        <v>1.66326</v>
      </c>
      <c r="F10" t="n">
        <v>0.72372</v>
      </c>
      <c r="G10" t="n">
        <v>0.6176</v>
      </c>
      <c r="H10" t="n">
        <v>0.66359</v>
      </c>
      <c r="I10" t="n">
        <v>0.35576</v>
      </c>
      <c r="J10" t="n">
        <v>1.53055</v>
      </c>
      <c r="K10" t="n">
        <v>0.87874</v>
      </c>
      <c r="L10" t="n">
        <v>1.92015</v>
      </c>
      <c r="M10" t="n">
        <v>0.0019689</v>
      </c>
      <c r="N10" t="n">
        <v>0.0019689</v>
      </c>
      <c r="O10" t="n">
        <v>0.0019689</v>
      </c>
    </row>
    <row r="11">
      <c r="A11" t="n">
        <v>10</v>
      </c>
      <c r="B11" t="n">
        <v>1913.72</v>
      </c>
      <c r="C11" t="n">
        <v>1.47432</v>
      </c>
      <c r="D11" t="n">
        <v>0.80699</v>
      </c>
      <c r="E11" t="n">
        <v>1.67686</v>
      </c>
      <c r="F11" t="n">
        <v>0.71508</v>
      </c>
      <c r="G11" t="n">
        <v>0.66066</v>
      </c>
      <c r="H11" t="n">
        <v>0.6822</v>
      </c>
      <c r="I11" t="n">
        <v>0.37524</v>
      </c>
      <c r="J11" t="n">
        <v>1.49595</v>
      </c>
      <c r="K11" t="n">
        <v>0.85641</v>
      </c>
      <c r="L11" t="n">
        <v>1.93395</v>
      </c>
      <c r="M11" t="n">
        <v>0.00196069</v>
      </c>
      <c r="N11" t="n">
        <v>0.00196069</v>
      </c>
      <c r="O11" t="n">
        <v>0.00196069</v>
      </c>
    </row>
    <row r="12">
      <c r="A12" t="n">
        <v>11</v>
      </c>
      <c r="B12" t="n">
        <v>2075.52</v>
      </c>
      <c r="C12" t="n">
        <v>1.45917</v>
      </c>
      <c r="D12" t="n">
        <v>0.78948</v>
      </c>
      <c r="E12" t="n">
        <v>1.64624</v>
      </c>
      <c r="F12" t="n">
        <v>0.7269</v>
      </c>
      <c r="G12" t="n">
        <v>0.6533600000000001</v>
      </c>
      <c r="H12" t="n">
        <v>0.67036</v>
      </c>
      <c r="I12" t="n">
        <v>0.36595</v>
      </c>
      <c r="J12" t="n">
        <v>1.50621</v>
      </c>
      <c r="K12" t="n">
        <v>0.86214</v>
      </c>
      <c r="L12" t="n">
        <v>1.89346</v>
      </c>
      <c r="M12" t="n">
        <v>0.00195155</v>
      </c>
      <c r="N12" t="n">
        <v>0.00195155</v>
      </c>
      <c r="O12" t="n">
        <v>0.00195155</v>
      </c>
    </row>
    <row r="13">
      <c r="A13" t="n">
        <v>12</v>
      </c>
      <c r="B13" t="n">
        <v>2226.15</v>
      </c>
      <c r="C13" t="n">
        <v>1.45976</v>
      </c>
      <c r="D13" t="n">
        <v>0.79135</v>
      </c>
      <c r="E13" t="n">
        <v>1.64973</v>
      </c>
      <c r="F13" t="n">
        <v>0.74921</v>
      </c>
      <c r="G13" t="n">
        <v>0.6474299999999999</v>
      </c>
      <c r="H13" t="n">
        <v>0.69217</v>
      </c>
      <c r="I13" t="n">
        <v>0.37776</v>
      </c>
      <c r="J13" t="n">
        <v>1.50347</v>
      </c>
      <c r="K13" t="n">
        <v>0.84914</v>
      </c>
      <c r="L13" t="n">
        <v>1.92065</v>
      </c>
      <c r="M13" t="n">
        <v>0.00194147</v>
      </c>
      <c r="N13" t="n">
        <v>0.00194147</v>
      </c>
      <c r="O13" t="n">
        <v>0.00194147</v>
      </c>
    </row>
    <row r="14">
      <c r="A14" t="n">
        <v>13</v>
      </c>
      <c r="B14" t="n">
        <v>2411.62</v>
      </c>
      <c r="C14" t="n">
        <v>1.44313</v>
      </c>
      <c r="D14" t="n">
        <v>0.76588</v>
      </c>
      <c r="E14" t="n">
        <v>1.64558</v>
      </c>
      <c r="F14" t="n">
        <v>0.7410600000000001</v>
      </c>
      <c r="G14" t="n">
        <v>0.6563600000000001</v>
      </c>
      <c r="H14" t="n">
        <v>0.70866</v>
      </c>
      <c r="I14" t="n">
        <v>0.40015</v>
      </c>
      <c r="J14" t="n">
        <v>1.45849</v>
      </c>
      <c r="K14" t="n">
        <v>0.80828</v>
      </c>
      <c r="L14" t="n">
        <v>1.88825</v>
      </c>
      <c r="M14" t="n">
        <v>0.00193048</v>
      </c>
      <c r="N14" t="n">
        <v>0.00193048</v>
      </c>
      <c r="O14" t="n">
        <v>0.00193048</v>
      </c>
    </row>
    <row r="15">
      <c r="A15" t="n">
        <v>14</v>
      </c>
      <c r="B15" t="n">
        <v>2581.69</v>
      </c>
      <c r="C15" t="n">
        <v>1.43205</v>
      </c>
      <c r="D15" t="n">
        <v>0.76297</v>
      </c>
      <c r="E15" t="n">
        <v>1.64239</v>
      </c>
      <c r="F15" t="n">
        <v>0.70634</v>
      </c>
      <c r="G15" t="n">
        <v>0.65315</v>
      </c>
      <c r="H15" t="n">
        <v>0.67381</v>
      </c>
      <c r="I15" t="n">
        <v>0.37449</v>
      </c>
      <c r="J15" t="n">
        <v>1.50422</v>
      </c>
      <c r="K15" t="n">
        <v>0.88464</v>
      </c>
      <c r="L15" t="n">
        <v>1.89185</v>
      </c>
      <c r="M15" t="n">
        <v>0.00191858</v>
      </c>
      <c r="N15" t="n">
        <v>0.00191858</v>
      </c>
      <c r="O15" t="n">
        <v>0.00191858</v>
      </c>
    </row>
    <row r="16">
      <c r="A16" t="n">
        <v>15</v>
      </c>
      <c r="B16" t="n">
        <v>2725.54</v>
      </c>
      <c r="C16" t="n">
        <v>1.42794</v>
      </c>
      <c r="D16" t="n">
        <v>0.75375</v>
      </c>
      <c r="E16" t="n">
        <v>1.6326</v>
      </c>
      <c r="F16" t="n">
        <v>0.73527</v>
      </c>
      <c r="G16" t="n">
        <v>0.65907</v>
      </c>
      <c r="H16" t="n">
        <v>0.6963200000000001</v>
      </c>
      <c r="I16" t="n">
        <v>0.39108</v>
      </c>
      <c r="J16" t="n">
        <v>1.47305</v>
      </c>
      <c r="K16" t="n">
        <v>0.83253</v>
      </c>
      <c r="L16" t="n">
        <v>1.88939</v>
      </c>
      <c r="M16" t="n">
        <v>0.00190578</v>
      </c>
      <c r="N16" t="n">
        <v>0.00190578</v>
      </c>
      <c r="O16" t="n">
        <v>0.00190578</v>
      </c>
    </row>
    <row r="17">
      <c r="A17" t="n">
        <v>16</v>
      </c>
      <c r="B17" t="n">
        <v>2879.89</v>
      </c>
      <c r="C17" t="n">
        <v>1.4266</v>
      </c>
      <c r="D17" t="n">
        <v>0.75363</v>
      </c>
      <c r="E17" t="n">
        <v>1.63827</v>
      </c>
      <c r="F17" t="n">
        <v>0.76083</v>
      </c>
      <c r="G17" t="n">
        <v>0.65333</v>
      </c>
      <c r="H17" t="n">
        <v>0.71979</v>
      </c>
      <c r="I17" t="n">
        <v>0.39851</v>
      </c>
      <c r="J17" t="n">
        <v>1.4712</v>
      </c>
      <c r="K17" t="n">
        <v>0.82675</v>
      </c>
      <c r="L17" t="n">
        <v>1.87875</v>
      </c>
      <c r="M17" t="n">
        <v>0.0018921</v>
      </c>
      <c r="N17" t="n">
        <v>0.0018921</v>
      </c>
      <c r="O17" t="n">
        <v>0.0018921</v>
      </c>
    </row>
    <row r="18">
      <c r="A18" t="n">
        <v>17</v>
      </c>
      <c r="B18" t="n">
        <v>3027.66</v>
      </c>
      <c r="C18" t="n">
        <v>1.40953</v>
      </c>
      <c r="D18" t="n">
        <v>0.74269</v>
      </c>
      <c r="E18" t="n">
        <v>1.60455</v>
      </c>
      <c r="F18" t="n">
        <v>0.77649</v>
      </c>
      <c r="G18" t="n">
        <v>0.65977</v>
      </c>
      <c r="H18" t="n">
        <v>0.72077</v>
      </c>
      <c r="I18" t="n">
        <v>0.40869</v>
      </c>
      <c r="J18" t="n">
        <v>1.44434</v>
      </c>
      <c r="K18" t="n">
        <v>0.79389</v>
      </c>
      <c r="L18" t="n">
        <v>1.85544</v>
      </c>
      <c r="M18" t="n">
        <v>0.00187754</v>
      </c>
      <c r="N18" t="n">
        <v>0.00187754</v>
      </c>
      <c r="O18" t="n">
        <v>0.00187754</v>
      </c>
    </row>
    <row r="19">
      <c r="A19" t="n">
        <v>18</v>
      </c>
      <c r="B19" t="n">
        <v>3182.74</v>
      </c>
      <c r="C19" t="n">
        <v>1.40576</v>
      </c>
      <c r="D19" t="n">
        <v>0.73638</v>
      </c>
      <c r="E19" t="n">
        <v>1.61429</v>
      </c>
      <c r="F19" t="n">
        <v>0.74622</v>
      </c>
      <c r="G19" t="n">
        <v>0.69234</v>
      </c>
      <c r="H19" t="n">
        <v>0.7278</v>
      </c>
      <c r="I19" t="n">
        <v>0.4164</v>
      </c>
      <c r="J19" t="n">
        <v>1.44019</v>
      </c>
      <c r="K19" t="n">
        <v>0.77951</v>
      </c>
      <c r="L19" t="n">
        <v>1.85059</v>
      </c>
      <c r="M19" t="n">
        <v>0.00186213</v>
      </c>
      <c r="N19" t="n">
        <v>0.00186213</v>
      </c>
      <c r="O19" t="n">
        <v>0.00186213</v>
      </c>
    </row>
    <row r="20">
      <c r="A20" t="n">
        <v>19</v>
      </c>
      <c r="B20" t="n">
        <v>3342.2</v>
      </c>
      <c r="C20" t="n">
        <v>1.41197</v>
      </c>
      <c r="D20" t="n">
        <v>0.74513</v>
      </c>
      <c r="E20" t="n">
        <v>1.62501</v>
      </c>
      <c r="F20" t="n">
        <v>0.77728</v>
      </c>
      <c r="G20" t="n">
        <v>0.67604</v>
      </c>
      <c r="H20" t="n">
        <v>0.7347399999999999</v>
      </c>
      <c r="I20" t="n">
        <v>0.41963</v>
      </c>
      <c r="J20" t="n">
        <v>1.42699</v>
      </c>
      <c r="K20" t="n">
        <v>0.78205</v>
      </c>
      <c r="L20" t="n">
        <v>1.85282</v>
      </c>
      <c r="M20" t="n">
        <v>0.00184588</v>
      </c>
      <c r="N20" t="n">
        <v>0.00184588</v>
      </c>
      <c r="O20" t="n">
        <v>0.00184588</v>
      </c>
    </row>
    <row r="21">
      <c r="A21" t="n">
        <v>20</v>
      </c>
      <c r="B21" t="n">
        <v>3476.73</v>
      </c>
      <c r="C21" t="n">
        <v>1.40585</v>
      </c>
      <c r="D21" t="n">
        <v>0.72942</v>
      </c>
      <c r="E21" t="n">
        <v>1.61255</v>
      </c>
      <c r="F21" t="n">
        <v>0.78997</v>
      </c>
      <c r="G21" t="n">
        <v>0.6775600000000001</v>
      </c>
      <c r="H21" t="n">
        <v>0.734</v>
      </c>
      <c r="I21" t="n">
        <v>0.40715</v>
      </c>
      <c r="J21" t="n">
        <v>1.48623</v>
      </c>
      <c r="K21" t="n">
        <v>0.75905</v>
      </c>
      <c r="L21" t="n">
        <v>1.86293</v>
      </c>
      <c r="M21" t="n">
        <v>0.00182881</v>
      </c>
      <c r="N21" t="n">
        <v>0.00182881</v>
      </c>
      <c r="O21" t="n">
        <v>0.00182881</v>
      </c>
    </row>
    <row r="22">
      <c r="A22" t="n">
        <v>21</v>
      </c>
      <c r="B22" t="n">
        <v>4472.4</v>
      </c>
      <c r="C22" t="n">
        <v>1.40146</v>
      </c>
      <c r="D22" t="n">
        <v>0.7279099999999999</v>
      </c>
      <c r="E22" t="n">
        <v>1.60949</v>
      </c>
      <c r="F22" t="n">
        <v>0.78807</v>
      </c>
      <c r="G22" t="n">
        <v>0.6786</v>
      </c>
      <c r="H22" t="n">
        <v>0.73834</v>
      </c>
      <c r="I22" t="n">
        <v>0.41837</v>
      </c>
      <c r="J22" t="n">
        <v>1.43334</v>
      </c>
      <c r="K22" t="n">
        <v>0.77715</v>
      </c>
      <c r="L22" t="n">
        <v>1.85054</v>
      </c>
      <c r="M22" t="n">
        <v>0.00181093</v>
      </c>
      <c r="N22" t="n">
        <v>0.00181093</v>
      </c>
      <c r="O22" t="n">
        <v>0.00181093</v>
      </c>
    </row>
    <row r="23">
      <c r="A23" t="n">
        <v>22</v>
      </c>
      <c r="B23" t="n">
        <v>4628.61</v>
      </c>
      <c r="C23" t="n">
        <v>1.37915</v>
      </c>
      <c r="D23" t="n">
        <v>0.7120300000000001</v>
      </c>
      <c r="E23" t="n">
        <v>1.59102</v>
      </c>
      <c r="F23" t="n">
        <v>0.7876</v>
      </c>
      <c r="G23" t="n">
        <v>0.68026</v>
      </c>
      <c r="H23" t="n">
        <v>0.73461</v>
      </c>
      <c r="I23" t="n">
        <v>0.41344</v>
      </c>
      <c r="J23" t="n">
        <v>1.44402</v>
      </c>
      <c r="K23" t="n">
        <v>0.75282</v>
      </c>
      <c r="L23" t="n">
        <v>1.84602</v>
      </c>
      <c r="M23" t="n">
        <v>0.00179225</v>
      </c>
      <c r="N23" t="n">
        <v>0.00179225</v>
      </c>
      <c r="O23" t="n">
        <v>0.00179225</v>
      </c>
    </row>
    <row r="24">
      <c r="A24" t="n">
        <v>23</v>
      </c>
      <c r="B24" t="n">
        <v>4780.83</v>
      </c>
      <c r="C24" t="n">
        <v>1.37163</v>
      </c>
      <c r="D24" t="n">
        <v>0.70245</v>
      </c>
      <c r="E24" t="n">
        <v>1.59477</v>
      </c>
      <c r="F24" t="n">
        <v>0.78338</v>
      </c>
      <c r="G24" t="n">
        <v>0.70484</v>
      </c>
      <c r="H24" t="n">
        <v>0.75223</v>
      </c>
      <c r="I24" t="n">
        <v>0.43318</v>
      </c>
      <c r="J24" t="n">
        <v>1.42097</v>
      </c>
      <c r="K24" t="n">
        <v>0.72839</v>
      </c>
      <c r="L24" t="n">
        <v>1.80865</v>
      </c>
      <c r="M24" t="n">
        <v>0.00177281</v>
      </c>
      <c r="N24" t="n">
        <v>0.00177281</v>
      </c>
      <c r="O24" t="n">
        <v>0.00177281</v>
      </c>
    </row>
    <row r="25">
      <c r="A25" t="n">
        <v>24</v>
      </c>
      <c r="B25" t="n">
        <v>5017.81</v>
      </c>
      <c r="C25" t="n">
        <v>1.36498</v>
      </c>
      <c r="D25" t="n">
        <v>0.69716</v>
      </c>
      <c r="E25" t="n">
        <v>1.58964</v>
      </c>
      <c r="F25" t="n">
        <v>0.77658</v>
      </c>
      <c r="G25" t="n">
        <v>0.69292</v>
      </c>
      <c r="H25" t="n">
        <v>0.7469</v>
      </c>
      <c r="I25" t="n">
        <v>0.42839</v>
      </c>
      <c r="J25" t="n">
        <v>1.41275</v>
      </c>
      <c r="K25" t="n">
        <v>0.74561</v>
      </c>
      <c r="L25" t="n">
        <v>1.82435</v>
      </c>
      <c r="M25" t="n">
        <v>0.00175261</v>
      </c>
      <c r="N25" t="n">
        <v>0.00175261</v>
      </c>
      <c r="O25" t="n">
        <v>0.00175261</v>
      </c>
    </row>
    <row r="26">
      <c r="A26" t="n">
        <v>25</v>
      </c>
      <c r="B26" t="n">
        <v>5173.81</v>
      </c>
      <c r="C26" t="n">
        <v>1.36748</v>
      </c>
      <c r="D26" t="n">
        <v>0.70146</v>
      </c>
      <c r="E26" t="n">
        <v>1.59419</v>
      </c>
      <c r="F26" t="n">
        <v>0.7403999999999999</v>
      </c>
      <c r="G26" t="n">
        <v>0.69717</v>
      </c>
      <c r="H26" t="n">
        <v>0.72403</v>
      </c>
      <c r="I26" t="n">
        <v>0.42729</v>
      </c>
      <c r="J26" t="n">
        <v>1.40787</v>
      </c>
      <c r="K26" t="n">
        <v>0.75869</v>
      </c>
      <c r="L26" t="n">
        <v>1.81511</v>
      </c>
      <c r="M26" t="n">
        <v>0.00173168</v>
      </c>
      <c r="N26" t="n">
        <v>0.00173168</v>
      </c>
      <c r="O26" t="n">
        <v>0.00173168</v>
      </c>
    </row>
    <row r="27">
      <c r="A27" t="n">
        <v>26</v>
      </c>
      <c r="B27" t="n">
        <v>5320.74</v>
      </c>
      <c r="C27" t="n">
        <v>1.3634</v>
      </c>
      <c r="D27" t="n">
        <v>0.69026</v>
      </c>
      <c r="E27" t="n">
        <v>1.5922</v>
      </c>
      <c r="F27" t="n">
        <v>0.79597</v>
      </c>
      <c r="G27" t="n">
        <v>0.7039299999999999</v>
      </c>
      <c r="H27" t="n">
        <v>0.76186</v>
      </c>
      <c r="I27" t="n">
        <v>0.44338</v>
      </c>
      <c r="J27" t="n">
        <v>1.38575</v>
      </c>
      <c r="K27" t="n">
        <v>0.7418400000000001</v>
      </c>
      <c r="L27" t="n">
        <v>1.80723</v>
      </c>
      <c r="M27" t="n">
        <v>0.00171004</v>
      </c>
      <c r="N27" t="n">
        <v>0.00171004</v>
      </c>
      <c r="O27" t="n">
        <v>0.00171004</v>
      </c>
    </row>
    <row r="28">
      <c r="A28" t="n">
        <v>27</v>
      </c>
      <c r="B28" t="n">
        <v>5514.3</v>
      </c>
      <c r="C28" t="n">
        <v>1.35958</v>
      </c>
      <c r="D28" t="n">
        <v>0.69196</v>
      </c>
      <c r="E28" t="n">
        <v>1.58717</v>
      </c>
      <c r="F28" t="n">
        <v>0.79104</v>
      </c>
      <c r="G28" t="n">
        <v>0.69977</v>
      </c>
      <c r="H28" t="n">
        <v>0.76107</v>
      </c>
      <c r="I28" t="n">
        <v>0.4411</v>
      </c>
      <c r="J28" t="n">
        <v>1.40325</v>
      </c>
      <c r="K28" t="n">
        <v>0.73248</v>
      </c>
      <c r="L28" t="n">
        <v>1.81387</v>
      </c>
      <c r="M28" t="n">
        <v>0.0016877</v>
      </c>
      <c r="N28" t="n">
        <v>0.0016877</v>
      </c>
      <c r="O28" t="n">
        <v>0.0016877</v>
      </c>
    </row>
    <row r="29">
      <c r="A29" t="n">
        <v>28</v>
      </c>
      <c r="B29" t="n">
        <v>5670.31</v>
      </c>
      <c r="C29" t="n">
        <v>1.35555</v>
      </c>
      <c r="D29" t="n">
        <v>0.68776</v>
      </c>
      <c r="E29" t="n">
        <v>1.58892</v>
      </c>
      <c r="F29" t="n">
        <v>0.78001</v>
      </c>
      <c r="G29" t="n">
        <v>0.70435</v>
      </c>
      <c r="H29" t="n">
        <v>0.753</v>
      </c>
      <c r="I29" t="n">
        <v>0.43968</v>
      </c>
      <c r="J29" t="n">
        <v>1.40066</v>
      </c>
      <c r="K29" t="n">
        <v>0.7128</v>
      </c>
      <c r="L29" t="n">
        <v>1.7991</v>
      </c>
      <c r="M29" t="n">
        <v>0.0016647</v>
      </c>
      <c r="N29" t="n">
        <v>0.0016647</v>
      </c>
      <c r="O29" t="n">
        <v>0.0016647</v>
      </c>
    </row>
    <row r="30">
      <c r="A30" t="n">
        <v>29</v>
      </c>
      <c r="B30" t="n">
        <v>5821.7</v>
      </c>
      <c r="C30" t="n">
        <v>1.34782</v>
      </c>
      <c r="D30" t="n">
        <v>0.6801</v>
      </c>
      <c r="E30" t="n">
        <v>1.57464</v>
      </c>
      <c r="F30" t="n">
        <v>0.7897999999999999</v>
      </c>
      <c r="G30" t="n">
        <v>0.70812</v>
      </c>
      <c r="H30" t="n">
        <v>0.76453</v>
      </c>
      <c r="I30" t="n">
        <v>0.44574</v>
      </c>
      <c r="J30" t="n">
        <v>1.38553</v>
      </c>
      <c r="K30" t="n">
        <v>0.71578</v>
      </c>
      <c r="L30" t="n">
        <v>1.79684</v>
      </c>
      <c r="M30" t="n">
        <v>0.00164105</v>
      </c>
      <c r="N30" t="n">
        <v>0.00164105</v>
      </c>
      <c r="O30" t="n">
        <v>0.00164105</v>
      </c>
    </row>
    <row r="31">
      <c r="A31" t="n">
        <v>30</v>
      </c>
      <c r="B31" t="n">
        <v>6108.92</v>
      </c>
      <c r="C31" t="n">
        <v>1.35357</v>
      </c>
      <c r="D31" t="n">
        <v>0.68066</v>
      </c>
      <c r="E31" t="n">
        <v>1.56973</v>
      </c>
      <c r="F31" t="n">
        <v>0.79332</v>
      </c>
      <c r="G31" t="n">
        <v>0.72098</v>
      </c>
      <c r="H31" t="n">
        <v>0.76985</v>
      </c>
      <c r="I31" t="n">
        <v>0.44684</v>
      </c>
      <c r="J31" t="n">
        <v>1.38683</v>
      </c>
      <c r="K31" t="n">
        <v>0.71553</v>
      </c>
      <c r="L31" t="n">
        <v>1.78755</v>
      </c>
      <c r="M31" t="n">
        <v>0.00161678</v>
      </c>
      <c r="N31" t="n">
        <v>0.00161678</v>
      </c>
      <c r="O31" t="n">
        <v>0.00161678</v>
      </c>
    </row>
    <row r="32">
      <c r="A32" t="n">
        <v>31</v>
      </c>
      <c r="B32" t="n">
        <v>6272.06</v>
      </c>
      <c r="C32" t="n">
        <v>1.33714</v>
      </c>
      <c r="D32" t="n">
        <v>0.6765600000000001</v>
      </c>
      <c r="E32" t="n">
        <v>1.5687</v>
      </c>
      <c r="F32" t="n">
        <v>0.78615</v>
      </c>
      <c r="G32" t="n">
        <v>0.70555</v>
      </c>
      <c r="H32" t="n">
        <v>0.75786</v>
      </c>
      <c r="I32" t="n">
        <v>0.44506</v>
      </c>
      <c r="J32" t="n">
        <v>1.37104</v>
      </c>
      <c r="K32" t="n">
        <v>0.71601</v>
      </c>
      <c r="L32" t="n">
        <v>1.79012</v>
      </c>
      <c r="M32" t="n">
        <v>0.00159191</v>
      </c>
      <c r="N32" t="n">
        <v>0.00159191</v>
      </c>
      <c r="O32" t="n">
        <v>0.00159191</v>
      </c>
    </row>
    <row r="33">
      <c r="A33" t="n">
        <v>32</v>
      </c>
      <c r="B33" t="n">
        <v>6412.57</v>
      </c>
      <c r="C33" t="n">
        <v>1.35244</v>
      </c>
      <c r="D33" t="n">
        <v>0.68061</v>
      </c>
      <c r="E33" t="n">
        <v>1.57143</v>
      </c>
      <c r="F33" t="n">
        <v>0.81774</v>
      </c>
      <c r="G33" t="n">
        <v>0.70213</v>
      </c>
      <c r="H33" t="n">
        <v>0.77433</v>
      </c>
      <c r="I33" t="n">
        <v>0.45397</v>
      </c>
      <c r="J33" t="n">
        <v>1.36057</v>
      </c>
      <c r="K33" t="n">
        <v>0.70462</v>
      </c>
      <c r="L33" t="n">
        <v>1.78141</v>
      </c>
      <c r="M33" t="n">
        <v>0.00156646</v>
      </c>
      <c r="N33" t="n">
        <v>0.00156646</v>
      </c>
      <c r="O33" t="n">
        <v>0.00156646</v>
      </c>
    </row>
    <row r="34">
      <c r="A34" t="n">
        <v>33</v>
      </c>
      <c r="B34" t="n">
        <v>6596.49</v>
      </c>
      <c r="C34" t="n">
        <v>1.34064</v>
      </c>
      <c r="D34" t="n">
        <v>0.6754</v>
      </c>
      <c r="E34" t="n">
        <v>1.57288</v>
      </c>
      <c r="F34" t="n">
        <v>0.8021200000000001</v>
      </c>
      <c r="G34" t="n">
        <v>0.72396</v>
      </c>
      <c r="H34" t="n">
        <v>0.77751</v>
      </c>
      <c r="I34" t="n">
        <v>0.45963</v>
      </c>
      <c r="J34" t="n">
        <v>1.36218</v>
      </c>
      <c r="K34" t="n">
        <v>0.7015</v>
      </c>
      <c r="L34" t="n">
        <v>1.7835</v>
      </c>
      <c r="M34" t="n">
        <v>0.00154047</v>
      </c>
      <c r="N34" t="n">
        <v>0.00154047</v>
      </c>
      <c r="O34" t="n">
        <v>0.00154047</v>
      </c>
    </row>
    <row r="35">
      <c r="A35" t="n">
        <v>34</v>
      </c>
      <c r="B35" t="n">
        <v>6772.34</v>
      </c>
      <c r="C35" t="n">
        <v>1.33149</v>
      </c>
      <c r="D35" t="n">
        <v>0.66428</v>
      </c>
      <c r="E35" t="n">
        <v>1.57004</v>
      </c>
      <c r="F35" t="n">
        <v>0.8198800000000001</v>
      </c>
      <c r="G35" t="n">
        <v>0.7057099999999999</v>
      </c>
      <c r="H35" t="n">
        <v>0.7760899999999999</v>
      </c>
      <c r="I35" t="n">
        <v>0.45801</v>
      </c>
      <c r="J35" t="n">
        <v>1.35109</v>
      </c>
      <c r="K35" t="n">
        <v>0.69578</v>
      </c>
      <c r="L35" t="n">
        <v>1.78705</v>
      </c>
      <c r="M35" t="n">
        <v>0.00151395</v>
      </c>
      <c r="N35" t="n">
        <v>0.00151395</v>
      </c>
      <c r="O35" t="n">
        <v>0.00151395</v>
      </c>
    </row>
    <row r="36">
      <c r="A36" t="n">
        <v>35</v>
      </c>
      <c r="B36" t="n">
        <v>7122.53</v>
      </c>
      <c r="C36" t="n">
        <v>1.32397</v>
      </c>
      <c r="D36" t="n">
        <v>0.65249</v>
      </c>
      <c r="E36" t="n">
        <v>1.55678</v>
      </c>
      <c r="F36" t="n">
        <v>0.8188800000000001</v>
      </c>
      <c r="G36" t="n">
        <v>0.71965</v>
      </c>
      <c r="H36" t="n">
        <v>0.7799700000000001</v>
      </c>
      <c r="I36" t="n">
        <v>0.46062</v>
      </c>
      <c r="J36" t="n">
        <v>1.3557</v>
      </c>
      <c r="K36" t="n">
        <v>0.6925</v>
      </c>
      <c r="L36" t="n">
        <v>1.76938</v>
      </c>
      <c r="M36" t="n">
        <v>0.00148694</v>
      </c>
      <c r="N36" t="n">
        <v>0.00148694</v>
      </c>
      <c r="O36" t="n">
        <v>0.00148694</v>
      </c>
    </row>
    <row r="37">
      <c r="A37" t="n">
        <v>36</v>
      </c>
      <c r="B37" t="n">
        <v>7277.54</v>
      </c>
      <c r="C37" t="n">
        <v>1.32588</v>
      </c>
      <c r="D37" t="n">
        <v>0.66239</v>
      </c>
      <c r="E37" t="n">
        <v>1.56605</v>
      </c>
      <c r="F37" t="n">
        <v>0.81241</v>
      </c>
      <c r="G37" t="n">
        <v>0.72289</v>
      </c>
      <c r="H37" t="n">
        <v>0.77917</v>
      </c>
      <c r="I37" t="n">
        <v>0.46432</v>
      </c>
      <c r="J37" t="n">
        <v>1.35675</v>
      </c>
      <c r="K37" t="n">
        <v>0.69118</v>
      </c>
      <c r="L37" t="n">
        <v>1.76958</v>
      </c>
      <c r="M37" t="n">
        <v>0.00145945</v>
      </c>
      <c r="N37" t="n">
        <v>0.00145945</v>
      </c>
      <c r="O37" t="n">
        <v>0.00145945</v>
      </c>
    </row>
    <row r="38">
      <c r="A38" t="n">
        <v>37</v>
      </c>
      <c r="B38" t="n">
        <v>7617.09</v>
      </c>
      <c r="C38" t="n">
        <v>1.32718</v>
      </c>
      <c r="D38" t="n">
        <v>0.65699</v>
      </c>
      <c r="E38" t="n">
        <v>1.56145</v>
      </c>
      <c r="F38" t="n">
        <v>0.80341</v>
      </c>
      <c r="G38" t="n">
        <v>0.72026</v>
      </c>
      <c r="H38" t="n">
        <v>0.77497</v>
      </c>
      <c r="I38" t="n">
        <v>0.46246</v>
      </c>
      <c r="J38" t="n">
        <v>1.34399</v>
      </c>
      <c r="K38" t="n">
        <v>0.68565</v>
      </c>
      <c r="L38" t="n">
        <v>1.76208</v>
      </c>
      <c r="M38" t="n">
        <v>0.00143152</v>
      </c>
      <c r="N38" t="n">
        <v>0.00143152</v>
      </c>
      <c r="O38" t="n">
        <v>0.00143152</v>
      </c>
    </row>
    <row r="39">
      <c r="A39" t="n">
        <v>38</v>
      </c>
      <c r="B39" t="n">
        <v>7799.4</v>
      </c>
      <c r="C39" t="n">
        <v>1.32783</v>
      </c>
      <c r="D39" t="n">
        <v>0.65678</v>
      </c>
      <c r="E39" t="n">
        <v>1.57019</v>
      </c>
      <c r="F39" t="n">
        <v>0.81994</v>
      </c>
      <c r="G39" t="n">
        <v>0.72389</v>
      </c>
      <c r="H39" t="n">
        <v>0.78259</v>
      </c>
      <c r="I39" t="n">
        <v>0.46544</v>
      </c>
      <c r="J39" t="n">
        <v>1.36162</v>
      </c>
      <c r="K39" t="n">
        <v>0.6873899999999999</v>
      </c>
      <c r="L39" t="n">
        <v>1.76961</v>
      </c>
      <c r="M39" t="n">
        <v>0.00140318</v>
      </c>
      <c r="N39" t="n">
        <v>0.00140318</v>
      </c>
      <c r="O39" t="n">
        <v>0.00140318</v>
      </c>
    </row>
    <row r="40">
      <c r="A40" t="n">
        <v>39</v>
      </c>
      <c r="B40" t="n">
        <v>7981.93</v>
      </c>
      <c r="C40" t="n">
        <v>1.31045</v>
      </c>
      <c r="D40" t="n">
        <v>0.64367</v>
      </c>
      <c r="E40" t="n">
        <v>1.5538</v>
      </c>
      <c r="F40" t="n">
        <v>0.81535</v>
      </c>
      <c r="G40" t="n">
        <v>0.7269099999999999</v>
      </c>
      <c r="H40" t="n">
        <v>0.78612</v>
      </c>
      <c r="I40" t="n">
        <v>0.46989</v>
      </c>
      <c r="J40" t="n">
        <v>1.34449</v>
      </c>
      <c r="K40" t="n">
        <v>0.68219</v>
      </c>
      <c r="L40" t="n">
        <v>1.76773</v>
      </c>
      <c r="M40" t="n">
        <v>0.00137444</v>
      </c>
      <c r="N40" t="n">
        <v>0.00137444</v>
      </c>
      <c r="O40" t="n">
        <v>0.00137444</v>
      </c>
    </row>
    <row r="41">
      <c r="A41" t="n">
        <v>40</v>
      </c>
      <c r="B41" t="n">
        <v>8119.97</v>
      </c>
      <c r="C41" t="n">
        <v>1.30991</v>
      </c>
      <c r="D41" t="n">
        <v>0.6391</v>
      </c>
      <c r="E41" t="n">
        <v>1.5523</v>
      </c>
      <c r="F41" t="n">
        <v>0.83784</v>
      </c>
      <c r="G41" t="n">
        <v>0.72442</v>
      </c>
      <c r="H41" t="n">
        <v>0.78659</v>
      </c>
      <c r="I41" t="n">
        <v>0.46916</v>
      </c>
      <c r="J41" t="n">
        <v>1.33441</v>
      </c>
      <c r="K41" t="n">
        <v>0.6574</v>
      </c>
      <c r="L41" t="n">
        <v>1.75202</v>
      </c>
      <c r="M41" t="n">
        <v>0.00134535</v>
      </c>
      <c r="N41" t="n">
        <v>0.00134535</v>
      </c>
      <c r="O41" t="n">
        <v>0.00134535</v>
      </c>
    </row>
    <row r="42">
      <c r="A42" t="n">
        <v>41</v>
      </c>
      <c r="B42" t="n">
        <v>8295.639999999999</v>
      </c>
      <c r="C42" t="n">
        <v>1.29885</v>
      </c>
      <c r="D42" t="n">
        <v>0.63532</v>
      </c>
      <c r="E42" t="n">
        <v>1.54069</v>
      </c>
      <c r="F42" t="n">
        <v>0.83196</v>
      </c>
      <c r="G42" t="n">
        <v>0.7345</v>
      </c>
      <c r="H42" t="n">
        <v>0.7969000000000001</v>
      </c>
      <c r="I42" t="n">
        <v>0.47666</v>
      </c>
      <c r="J42" t="n">
        <v>1.34524</v>
      </c>
      <c r="K42" t="n">
        <v>0.6559700000000001</v>
      </c>
      <c r="L42" t="n">
        <v>1.75551</v>
      </c>
      <c r="M42" t="n">
        <v>0.00131593</v>
      </c>
      <c r="N42" t="n">
        <v>0.00131593</v>
      </c>
      <c r="O42" t="n">
        <v>0.00131593</v>
      </c>
    </row>
    <row r="43">
      <c r="A43" t="n">
        <v>42</v>
      </c>
      <c r="B43" t="n">
        <v>8628.440000000001</v>
      </c>
      <c r="C43" t="n">
        <v>1.29923</v>
      </c>
      <c r="D43" t="n">
        <v>0.6344</v>
      </c>
      <c r="E43" t="n">
        <v>1.539</v>
      </c>
      <c r="F43" t="n">
        <v>0.8332000000000001</v>
      </c>
      <c r="G43" t="n">
        <v>0.71401</v>
      </c>
      <c r="H43" t="n">
        <v>0.79014</v>
      </c>
      <c r="I43" t="n">
        <v>0.47292</v>
      </c>
      <c r="J43" t="n">
        <v>1.34335</v>
      </c>
      <c r="K43" t="n">
        <v>0.66162</v>
      </c>
      <c r="L43" t="n">
        <v>1.75046</v>
      </c>
      <c r="M43" t="n">
        <v>0.0012862</v>
      </c>
      <c r="N43" t="n">
        <v>0.0012862</v>
      </c>
      <c r="O43" t="n">
        <v>0.0012862</v>
      </c>
    </row>
    <row r="44">
      <c r="A44" t="n">
        <v>43</v>
      </c>
      <c r="B44" t="n">
        <v>8773.17</v>
      </c>
      <c r="C44" t="n">
        <v>1.29961</v>
      </c>
      <c r="D44" t="n">
        <v>0.63733</v>
      </c>
      <c r="E44" t="n">
        <v>1.53906</v>
      </c>
      <c r="F44" t="n">
        <v>0.83475</v>
      </c>
      <c r="G44" t="n">
        <v>0.72705</v>
      </c>
      <c r="H44" t="n">
        <v>0.79278</v>
      </c>
      <c r="I44" t="n">
        <v>0.47848</v>
      </c>
      <c r="J44" t="n">
        <v>1.33548</v>
      </c>
      <c r="K44" t="n">
        <v>0.6635</v>
      </c>
      <c r="L44" t="n">
        <v>1.74898</v>
      </c>
      <c r="M44" t="n">
        <v>0.0012562</v>
      </c>
      <c r="N44" t="n">
        <v>0.0012562</v>
      </c>
      <c r="O44" t="n">
        <v>0.0012562</v>
      </c>
    </row>
    <row r="45">
      <c r="A45" t="n">
        <v>44</v>
      </c>
      <c r="B45" t="n">
        <v>9084.57</v>
      </c>
      <c r="C45" t="n">
        <v>1.2994</v>
      </c>
      <c r="D45" t="n">
        <v>0.63515</v>
      </c>
      <c r="E45" t="n">
        <v>1.53408</v>
      </c>
      <c r="F45" t="n">
        <v>0.8326</v>
      </c>
      <c r="G45" t="n">
        <v>0.73006</v>
      </c>
      <c r="H45" t="n">
        <v>0.79231</v>
      </c>
      <c r="I45" t="n">
        <v>0.47893</v>
      </c>
      <c r="J45" t="n">
        <v>1.32412</v>
      </c>
      <c r="K45" t="n">
        <v>0.657</v>
      </c>
      <c r="L45" t="n">
        <v>1.73448</v>
      </c>
      <c r="M45" t="n">
        <v>0.00122596</v>
      </c>
      <c r="N45" t="n">
        <v>0.00122596</v>
      </c>
      <c r="O45" t="n">
        <v>0.00122596</v>
      </c>
    </row>
    <row r="46">
      <c r="A46" t="n">
        <v>45</v>
      </c>
      <c r="B46" t="n">
        <v>9247.49</v>
      </c>
      <c r="C46" t="n">
        <v>1.29419</v>
      </c>
      <c r="D46" t="n">
        <v>0.62956</v>
      </c>
      <c r="E46" t="n">
        <v>1.54371</v>
      </c>
      <c r="F46" t="n">
        <v>0.8359799999999999</v>
      </c>
      <c r="G46" t="n">
        <v>0.7256899999999999</v>
      </c>
      <c r="H46" t="n">
        <v>0.79623</v>
      </c>
      <c r="I46" t="n">
        <v>0.48117</v>
      </c>
      <c r="J46" t="n">
        <v>1.32987</v>
      </c>
      <c r="K46" t="n">
        <v>0.65854</v>
      </c>
      <c r="L46" t="n">
        <v>1.74738</v>
      </c>
      <c r="M46" t="n">
        <v>0.00119551</v>
      </c>
      <c r="N46" t="n">
        <v>0.00119551</v>
      </c>
      <c r="O46" t="n">
        <v>0.00119551</v>
      </c>
    </row>
    <row r="47">
      <c r="A47" t="n">
        <v>46</v>
      </c>
      <c r="B47" t="n">
        <v>9454.139999999999</v>
      </c>
      <c r="C47" t="n">
        <v>1.28372</v>
      </c>
      <c r="D47" t="n">
        <v>0.62705</v>
      </c>
      <c r="E47" t="n">
        <v>1.53274</v>
      </c>
      <c r="F47" t="n">
        <v>0.82576</v>
      </c>
      <c r="G47" t="n">
        <v>0.7326</v>
      </c>
      <c r="H47" t="n">
        <v>0.79244</v>
      </c>
      <c r="I47" t="n">
        <v>0.47769</v>
      </c>
      <c r="J47" t="n">
        <v>1.32708</v>
      </c>
      <c r="K47" t="n">
        <v>0.6495300000000001</v>
      </c>
      <c r="L47" t="n">
        <v>1.73155</v>
      </c>
      <c r="M47" t="n">
        <v>0.00116487</v>
      </c>
      <c r="N47" t="n">
        <v>0.00116487</v>
      </c>
      <c r="O47" t="n">
        <v>0.00116487</v>
      </c>
    </row>
    <row r="48">
      <c r="A48" t="n">
        <v>47</v>
      </c>
      <c r="B48" t="n">
        <v>9595.32</v>
      </c>
      <c r="C48" t="n">
        <v>1.30085</v>
      </c>
      <c r="D48" t="n">
        <v>0.63262</v>
      </c>
      <c r="E48" t="n">
        <v>1.54173</v>
      </c>
      <c r="F48" t="n">
        <v>0.8153899999999999</v>
      </c>
      <c r="G48" t="n">
        <v>0.74435</v>
      </c>
      <c r="H48" t="n">
        <v>0.79331</v>
      </c>
      <c r="I48" t="n">
        <v>0.47908</v>
      </c>
      <c r="J48" t="n">
        <v>1.32103</v>
      </c>
      <c r="K48" t="n">
        <v>0.662</v>
      </c>
      <c r="L48" t="n">
        <v>1.73541</v>
      </c>
      <c r="M48" t="n">
        <v>0.00113408</v>
      </c>
      <c r="N48" t="n">
        <v>0.00113408</v>
      </c>
      <c r="O48" t="n">
        <v>0.00113408</v>
      </c>
    </row>
    <row r="49">
      <c r="A49" t="n">
        <v>48</v>
      </c>
      <c r="B49" t="n">
        <v>9836.99</v>
      </c>
      <c r="C49" t="n">
        <v>1.28288</v>
      </c>
      <c r="D49" t="n">
        <v>0.6227</v>
      </c>
      <c r="E49" t="n">
        <v>1.52301</v>
      </c>
      <c r="F49" t="n">
        <v>0.8265</v>
      </c>
      <c r="G49" t="n">
        <v>0.74353</v>
      </c>
      <c r="H49" t="n">
        <v>0.79977</v>
      </c>
      <c r="I49" t="n">
        <v>0.48404</v>
      </c>
      <c r="J49" t="n">
        <v>1.32489</v>
      </c>
      <c r="K49" t="n">
        <v>0.64837</v>
      </c>
      <c r="L49" t="n">
        <v>1.73734</v>
      </c>
      <c r="M49" t="n">
        <v>0.00110317</v>
      </c>
      <c r="N49" t="n">
        <v>0.00110317</v>
      </c>
      <c r="O49" t="n">
        <v>0.00110317</v>
      </c>
    </row>
    <row r="50">
      <c r="A50" t="n">
        <v>49</v>
      </c>
      <c r="B50" t="n">
        <v>9994.02</v>
      </c>
      <c r="C50" t="n">
        <v>1.28801</v>
      </c>
      <c r="D50" t="n">
        <v>0.61849</v>
      </c>
      <c r="E50" t="n">
        <v>1.52346</v>
      </c>
      <c r="F50" t="n">
        <v>0.82346</v>
      </c>
      <c r="G50" t="n">
        <v>0.73512</v>
      </c>
      <c r="H50" t="n">
        <v>0.7947</v>
      </c>
      <c r="I50" t="n">
        <v>0.48167</v>
      </c>
      <c r="J50" t="n">
        <v>1.32743</v>
      </c>
      <c r="K50" t="n">
        <v>0.64352</v>
      </c>
      <c r="L50" t="n">
        <v>1.73555</v>
      </c>
      <c r="M50" t="n">
        <v>0.00107216</v>
      </c>
      <c r="N50" t="n">
        <v>0.00107216</v>
      </c>
      <c r="O50" t="n">
        <v>0.00107216</v>
      </c>
    </row>
    <row r="51">
      <c r="A51" t="n">
        <v>50</v>
      </c>
      <c r="B51" t="n">
        <v>10149.8</v>
      </c>
      <c r="C51" t="n">
        <v>1.27617</v>
      </c>
      <c r="D51" t="n">
        <v>0.61219</v>
      </c>
      <c r="E51" t="n">
        <v>1.52949</v>
      </c>
      <c r="F51" t="n">
        <v>0.81574</v>
      </c>
      <c r="G51" t="n">
        <v>0.74365</v>
      </c>
      <c r="H51" t="n">
        <v>0.79747</v>
      </c>
      <c r="I51" t="n">
        <v>0.48668</v>
      </c>
      <c r="J51" t="n">
        <v>1.3185</v>
      </c>
      <c r="K51" t="n">
        <v>0.64785</v>
      </c>
      <c r="L51" t="n">
        <v>1.72276</v>
      </c>
      <c r="M51" t="n">
        <v>0.0010411</v>
      </c>
      <c r="N51" t="n">
        <v>0.0010411</v>
      </c>
      <c r="O51" t="n">
        <v>0.0010411</v>
      </c>
    </row>
    <row r="52">
      <c r="A52" t="n">
        <v>51</v>
      </c>
      <c r="B52" t="n">
        <v>10317.6</v>
      </c>
      <c r="C52" t="n">
        <v>1.2786</v>
      </c>
      <c r="D52" t="n">
        <v>0.61581</v>
      </c>
      <c r="E52" t="n">
        <v>1.52573</v>
      </c>
      <c r="F52" t="n">
        <v>0.83303</v>
      </c>
      <c r="G52" t="n">
        <v>0.73085</v>
      </c>
      <c r="H52" t="n">
        <v>0.79615</v>
      </c>
      <c r="I52" t="n">
        <v>0.48426</v>
      </c>
      <c r="J52" t="n">
        <v>1.30834</v>
      </c>
      <c r="K52" t="n">
        <v>0.64211</v>
      </c>
      <c r="L52" t="n">
        <v>1.71692</v>
      </c>
      <c r="M52" t="n">
        <v>0.00101</v>
      </c>
      <c r="N52" t="n">
        <v>0.00101</v>
      </c>
      <c r="O52" t="n">
        <v>0.00101</v>
      </c>
    </row>
    <row r="53">
      <c r="A53" t="n">
        <v>52</v>
      </c>
      <c r="B53" t="n">
        <v>10465.4</v>
      </c>
      <c r="C53" t="n">
        <v>1.27906</v>
      </c>
      <c r="D53" t="n">
        <v>0.61122</v>
      </c>
      <c r="E53" t="n">
        <v>1.52431</v>
      </c>
      <c r="F53" t="n">
        <v>0.82977</v>
      </c>
      <c r="G53" t="n">
        <v>0.74586</v>
      </c>
      <c r="H53" t="n">
        <v>0.80293</v>
      </c>
      <c r="I53" t="n">
        <v>0.48823</v>
      </c>
      <c r="J53" t="n">
        <v>1.31511</v>
      </c>
      <c r="K53" t="n">
        <v>0.63844</v>
      </c>
      <c r="L53" t="n">
        <v>1.72303</v>
      </c>
      <c r="M53" t="n">
        <v>0.0009789029999999999</v>
      </c>
      <c r="N53" t="n">
        <v>0.0009789029999999999</v>
      </c>
      <c r="O53" t="n">
        <v>0.0009789029999999999</v>
      </c>
    </row>
    <row r="54">
      <c r="A54" t="n">
        <v>53</v>
      </c>
      <c r="B54" t="n">
        <v>10641.9</v>
      </c>
      <c r="C54" t="n">
        <v>1.26208</v>
      </c>
      <c r="D54" t="n">
        <v>0.60775</v>
      </c>
      <c r="E54" t="n">
        <v>1.51048</v>
      </c>
      <c r="F54" t="n">
        <v>0.8324</v>
      </c>
      <c r="G54" t="n">
        <v>0.7422</v>
      </c>
      <c r="H54" t="n">
        <v>0.80179</v>
      </c>
      <c r="I54" t="n">
        <v>0.48851</v>
      </c>
      <c r="J54" t="n">
        <v>1.31264</v>
      </c>
      <c r="K54" t="n">
        <v>0.63953</v>
      </c>
      <c r="L54" t="n">
        <v>1.71803</v>
      </c>
      <c r="M54" t="n">
        <v>0.000947837</v>
      </c>
      <c r="N54" t="n">
        <v>0.000947837</v>
      </c>
      <c r="O54" t="n">
        <v>0.000947837</v>
      </c>
    </row>
    <row r="55">
      <c r="A55" t="n">
        <v>54</v>
      </c>
      <c r="B55" t="n">
        <v>10771.8</v>
      </c>
      <c r="C55" t="n">
        <v>1.27255</v>
      </c>
      <c r="D55" t="n">
        <v>0.60688</v>
      </c>
      <c r="E55" t="n">
        <v>1.5227</v>
      </c>
      <c r="F55" t="n">
        <v>0.8439</v>
      </c>
      <c r="G55" t="n">
        <v>0.73956</v>
      </c>
      <c r="H55" t="n">
        <v>0.8020699999999999</v>
      </c>
      <c r="I55" t="n">
        <v>0.49082</v>
      </c>
      <c r="J55" t="n">
        <v>1.32007</v>
      </c>
      <c r="K55" t="n">
        <v>0.63775</v>
      </c>
      <c r="L55" t="n">
        <v>1.71841</v>
      </c>
      <c r="M55" t="n">
        <v>0.000916833</v>
      </c>
      <c r="N55" t="n">
        <v>0.000916833</v>
      </c>
      <c r="O55" t="n">
        <v>0.000916833</v>
      </c>
    </row>
    <row r="56">
      <c r="A56" t="n">
        <v>55</v>
      </c>
      <c r="B56" t="n">
        <v>12521.3</v>
      </c>
      <c r="C56" t="n">
        <v>1.26834</v>
      </c>
      <c r="D56" t="n">
        <v>0.61015</v>
      </c>
      <c r="E56" t="n">
        <v>1.52304</v>
      </c>
      <c r="F56" t="n">
        <v>0.84275</v>
      </c>
      <c r="G56" t="n">
        <v>0.74574</v>
      </c>
      <c r="H56" t="n">
        <v>0.80758</v>
      </c>
      <c r="I56" t="n">
        <v>0.49351</v>
      </c>
      <c r="J56" t="n">
        <v>1.30262</v>
      </c>
      <c r="K56" t="n">
        <v>0.63724</v>
      </c>
      <c r="L56" t="n">
        <v>1.70619</v>
      </c>
      <c r="M56" t="n">
        <v>0.00088592</v>
      </c>
      <c r="N56" t="n">
        <v>0.00088592</v>
      </c>
      <c r="O56" t="n">
        <v>0.00088592</v>
      </c>
    </row>
    <row r="57">
      <c r="A57" t="n">
        <v>56</v>
      </c>
      <c r="B57" t="n">
        <v>12683.7</v>
      </c>
      <c r="C57" t="n">
        <v>1.26552</v>
      </c>
      <c r="D57" t="n">
        <v>0.60823</v>
      </c>
      <c r="E57" t="n">
        <v>1.51594</v>
      </c>
      <c r="F57" t="n">
        <v>0.8433</v>
      </c>
      <c r="G57" t="n">
        <v>0.74753</v>
      </c>
      <c r="H57" t="n">
        <v>0.81036</v>
      </c>
      <c r="I57" t="n">
        <v>0.49378</v>
      </c>
      <c r="J57" t="n">
        <v>1.30542</v>
      </c>
      <c r="K57" t="n">
        <v>0.6307700000000001</v>
      </c>
      <c r="L57" t="n">
        <v>1.7092</v>
      </c>
      <c r="M57" t="n">
        <v>0.00085513</v>
      </c>
      <c r="N57" t="n">
        <v>0.00085513</v>
      </c>
      <c r="O57" t="n">
        <v>0.00085513</v>
      </c>
    </row>
    <row r="58">
      <c r="A58" t="n">
        <v>57</v>
      </c>
      <c r="B58" t="n">
        <v>12828.1</v>
      </c>
      <c r="C58" t="n">
        <v>1.26278</v>
      </c>
      <c r="D58" t="n">
        <v>0.59728</v>
      </c>
      <c r="E58" t="n">
        <v>1.51759</v>
      </c>
      <c r="F58" t="n">
        <v>0.8328</v>
      </c>
      <c r="G58" t="n">
        <v>0.74538</v>
      </c>
      <c r="H58" t="n">
        <v>0.80568</v>
      </c>
      <c r="I58" t="n">
        <v>0.49137</v>
      </c>
      <c r="J58" t="n">
        <v>1.30137</v>
      </c>
      <c r="K58" t="n">
        <v>0.6257</v>
      </c>
      <c r="L58" t="n">
        <v>1.70137</v>
      </c>
      <c r="M58" t="n">
        <v>0.000824492</v>
      </c>
      <c r="N58" t="n">
        <v>0.000824492</v>
      </c>
      <c r="O58" t="n">
        <v>0.000824492</v>
      </c>
    </row>
    <row r="59">
      <c r="A59" t="n">
        <v>58</v>
      </c>
      <c r="B59" t="n">
        <v>13124.7</v>
      </c>
      <c r="C59" t="n">
        <v>1.26253</v>
      </c>
      <c r="D59" t="n">
        <v>0.60078</v>
      </c>
      <c r="E59" t="n">
        <v>1.50907</v>
      </c>
      <c r="F59" t="n">
        <v>0.84331</v>
      </c>
      <c r="G59" t="n">
        <v>0.73725</v>
      </c>
      <c r="H59" t="n">
        <v>0.80513</v>
      </c>
      <c r="I59" t="n">
        <v>0.49318</v>
      </c>
      <c r="J59" t="n">
        <v>1.29847</v>
      </c>
      <c r="K59" t="n">
        <v>0.63105</v>
      </c>
      <c r="L59" t="n">
        <v>1.70044</v>
      </c>
      <c r="M59" t="n">
        <v>0.0007940379999999999</v>
      </c>
      <c r="N59" t="n">
        <v>0.0007940379999999999</v>
      </c>
      <c r="O59" t="n">
        <v>0.0007940379999999999</v>
      </c>
    </row>
    <row r="60">
      <c r="A60" t="n">
        <v>59</v>
      </c>
      <c r="B60" t="n">
        <v>13272.1</v>
      </c>
      <c r="C60" t="n">
        <v>1.25266</v>
      </c>
      <c r="D60" t="n">
        <v>0.59546</v>
      </c>
      <c r="E60" t="n">
        <v>1.51057</v>
      </c>
      <c r="F60" t="n">
        <v>0.85785</v>
      </c>
      <c r="G60" t="n">
        <v>0.73738</v>
      </c>
      <c r="H60" t="n">
        <v>0.80862</v>
      </c>
      <c r="I60" t="n">
        <v>0.49502</v>
      </c>
      <c r="J60" t="n">
        <v>1.29934</v>
      </c>
      <c r="K60" t="n">
        <v>0.63168</v>
      </c>
      <c r="L60" t="n">
        <v>1.71071</v>
      </c>
      <c r="M60" t="n">
        <v>0.000763797</v>
      </c>
      <c r="N60" t="n">
        <v>0.000763797</v>
      </c>
      <c r="O60" t="n">
        <v>0.000763797</v>
      </c>
    </row>
    <row r="61">
      <c r="A61" t="n">
        <v>60</v>
      </c>
      <c r="B61" t="n">
        <v>13503.3</v>
      </c>
      <c r="C61" t="n">
        <v>1.25281</v>
      </c>
      <c r="D61" t="n">
        <v>0.59582</v>
      </c>
      <c r="E61" t="n">
        <v>1.51208</v>
      </c>
      <c r="F61" t="n">
        <v>0.83396</v>
      </c>
      <c r="G61" t="n">
        <v>0.74431</v>
      </c>
      <c r="H61" t="n">
        <v>0.80586</v>
      </c>
      <c r="I61" t="n">
        <v>0.49584</v>
      </c>
      <c r="J61" t="n">
        <v>1.29383</v>
      </c>
      <c r="K61" t="n">
        <v>0.62623</v>
      </c>
      <c r="L61" t="n">
        <v>1.71135</v>
      </c>
      <c r="M61" t="n">
        <v>0.000733799</v>
      </c>
      <c r="N61" t="n">
        <v>0.000733799</v>
      </c>
      <c r="O61" t="n">
        <v>0.000733799</v>
      </c>
    </row>
    <row r="62">
      <c r="A62" t="n">
        <v>61</v>
      </c>
      <c r="B62" t="n">
        <v>13643.5</v>
      </c>
      <c r="C62" t="n">
        <v>1.24541</v>
      </c>
      <c r="D62" t="n">
        <v>0.59004</v>
      </c>
      <c r="E62" t="n">
        <v>1.49796</v>
      </c>
      <c r="F62" t="n">
        <v>0.86752</v>
      </c>
      <c r="G62" t="n">
        <v>0.72477</v>
      </c>
      <c r="H62" t="n">
        <v>0.80571</v>
      </c>
      <c r="I62" t="n">
        <v>0.49621</v>
      </c>
      <c r="J62" t="n">
        <v>1.29266</v>
      </c>
      <c r="K62" t="n">
        <v>0.6216</v>
      </c>
      <c r="L62" t="n">
        <v>1.71059</v>
      </c>
      <c r="M62" t="n">
        <v>0.000704073</v>
      </c>
      <c r="N62" t="n">
        <v>0.000704073</v>
      </c>
      <c r="O62" t="n">
        <v>0.000704073</v>
      </c>
    </row>
    <row r="63">
      <c r="A63" t="n">
        <v>62</v>
      </c>
      <c r="B63" t="n">
        <v>13814.2</v>
      </c>
      <c r="C63" t="n">
        <v>1.25207</v>
      </c>
      <c r="D63" t="n">
        <v>0.5966900000000001</v>
      </c>
      <c r="E63" t="n">
        <v>1.50952</v>
      </c>
      <c r="F63" t="n">
        <v>0.86034</v>
      </c>
      <c r="G63" t="n">
        <v>0.73344</v>
      </c>
      <c r="H63" t="n">
        <v>0.80564</v>
      </c>
      <c r="I63" t="n">
        <v>0.49688</v>
      </c>
      <c r="J63" t="n">
        <v>1.2918</v>
      </c>
      <c r="K63" t="n">
        <v>0.62081</v>
      </c>
      <c r="L63" t="n">
        <v>1.71396</v>
      </c>
      <c r="M63" t="n">
        <v>0.000674649</v>
      </c>
      <c r="N63" t="n">
        <v>0.000674649</v>
      </c>
      <c r="O63" t="n">
        <v>0.000674649</v>
      </c>
    </row>
    <row r="64">
      <c r="A64" t="n">
        <v>63</v>
      </c>
      <c r="B64" t="n">
        <v>13974.4</v>
      </c>
      <c r="C64" t="n">
        <v>1.24616</v>
      </c>
      <c r="D64" t="n">
        <v>0.58893</v>
      </c>
      <c r="E64" t="n">
        <v>1.50155</v>
      </c>
      <c r="F64" t="n">
        <v>0.8379</v>
      </c>
      <c r="G64" t="n">
        <v>0.74253</v>
      </c>
      <c r="H64" t="n">
        <v>0.80645</v>
      </c>
      <c r="I64" t="n">
        <v>0.49617</v>
      </c>
      <c r="J64" t="n">
        <v>1.29307</v>
      </c>
      <c r="K64" t="n">
        <v>0.6219</v>
      </c>
      <c r="L64" t="n">
        <v>1.70857</v>
      </c>
      <c r="M64" t="n">
        <v>0.0006455570000000001</v>
      </c>
      <c r="N64" t="n">
        <v>0.0006455570000000001</v>
      </c>
      <c r="O64" t="n">
        <v>0.0006455570000000001</v>
      </c>
    </row>
    <row r="65">
      <c r="A65" t="n">
        <v>64</v>
      </c>
      <c r="B65" t="n">
        <v>14125.8</v>
      </c>
      <c r="C65" t="n">
        <v>1.23785</v>
      </c>
      <c r="D65" t="n">
        <v>0.58142</v>
      </c>
      <c r="E65" t="n">
        <v>1.50055</v>
      </c>
      <c r="F65" t="n">
        <v>0.85954</v>
      </c>
      <c r="G65" t="n">
        <v>0.73454</v>
      </c>
      <c r="H65" t="n">
        <v>0.8102</v>
      </c>
      <c r="I65" t="n">
        <v>0.49806</v>
      </c>
      <c r="J65" t="n">
        <v>1.2928</v>
      </c>
      <c r="K65" t="n">
        <v>0.62353</v>
      </c>
      <c r="L65" t="n">
        <v>1.70907</v>
      </c>
      <c r="M65" t="n">
        <v>0.000616824</v>
      </c>
      <c r="N65" t="n">
        <v>0.000616824</v>
      </c>
      <c r="O65" t="n">
        <v>0.000616824</v>
      </c>
    </row>
    <row r="66">
      <c r="A66" t="n">
        <v>65</v>
      </c>
      <c r="B66" t="n">
        <v>14263.9</v>
      </c>
      <c r="C66" t="n">
        <v>1.23875</v>
      </c>
      <c r="D66" t="n">
        <v>0.58329</v>
      </c>
      <c r="E66" t="n">
        <v>1.49911</v>
      </c>
      <c r="F66" t="n">
        <v>0.86088</v>
      </c>
      <c r="G66" t="n">
        <v>0.73704</v>
      </c>
      <c r="H66" t="n">
        <v>0.81163</v>
      </c>
      <c r="I66" t="n">
        <v>0.49869</v>
      </c>
      <c r="J66" t="n">
        <v>1.2906</v>
      </c>
      <c r="K66" t="n">
        <v>0.62072</v>
      </c>
      <c r="L66" t="n">
        <v>1.7028</v>
      </c>
      <c r="M66" t="n">
        <v>0.000588479</v>
      </c>
      <c r="N66" t="n">
        <v>0.000588479</v>
      </c>
      <c r="O66" t="n">
        <v>0.000588479</v>
      </c>
    </row>
    <row r="67">
      <c r="A67" t="n">
        <v>66</v>
      </c>
      <c r="B67" t="n">
        <v>14475.5</v>
      </c>
      <c r="C67" t="n">
        <v>1.24157</v>
      </c>
      <c r="D67" t="n">
        <v>0.58061</v>
      </c>
      <c r="E67" t="n">
        <v>1.50551</v>
      </c>
      <c r="F67" t="n">
        <v>0.84775</v>
      </c>
      <c r="G67" t="n">
        <v>0.7466</v>
      </c>
      <c r="H67" t="n">
        <v>0.8112200000000001</v>
      </c>
      <c r="I67" t="n">
        <v>0.49976</v>
      </c>
      <c r="J67" t="n">
        <v>1.29416</v>
      </c>
      <c r="K67" t="n">
        <v>0.6196700000000001</v>
      </c>
      <c r="L67" t="n">
        <v>1.70271</v>
      </c>
      <c r="M67" t="n">
        <v>0.000560549</v>
      </c>
      <c r="N67" t="n">
        <v>0.000560549</v>
      </c>
      <c r="O67" t="n">
        <v>0.000560549</v>
      </c>
    </row>
    <row r="68">
      <c r="A68" t="n">
        <v>67</v>
      </c>
      <c r="B68" t="n">
        <v>14866.2</v>
      </c>
      <c r="C68" t="n">
        <v>1.23989</v>
      </c>
      <c r="D68" t="n">
        <v>0.5789800000000001</v>
      </c>
      <c r="E68" t="n">
        <v>1.49456</v>
      </c>
      <c r="F68" t="n">
        <v>0.85512</v>
      </c>
      <c r="G68" t="n">
        <v>0.74356</v>
      </c>
      <c r="H68" t="n">
        <v>0.81152</v>
      </c>
      <c r="I68" t="n">
        <v>0.49887</v>
      </c>
      <c r="J68" t="n">
        <v>1.292</v>
      </c>
      <c r="K68" t="n">
        <v>0.61905</v>
      </c>
      <c r="L68" t="n">
        <v>1.69998</v>
      </c>
      <c r="M68" t="n">
        <v>0.000533064</v>
      </c>
      <c r="N68" t="n">
        <v>0.000533064</v>
      </c>
      <c r="O68" t="n">
        <v>0.000533064</v>
      </c>
    </row>
    <row r="69">
      <c r="A69" t="n">
        <v>68</v>
      </c>
      <c r="B69" t="n">
        <v>15011.2</v>
      </c>
      <c r="C69" t="n">
        <v>1.24757</v>
      </c>
      <c r="D69" t="n">
        <v>0.58243</v>
      </c>
      <c r="E69" t="n">
        <v>1.48995</v>
      </c>
      <c r="F69" t="n">
        <v>0.85872</v>
      </c>
      <c r="G69" t="n">
        <v>0.74273</v>
      </c>
      <c r="H69" t="n">
        <v>0.81197</v>
      </c>
      <c r="I69" t="n">
        <v>0.49861</v>
      </c>
      <c r="J69" t="n">
        <v>1.28945</v>
      </c>
      <c r="K69" t="n">
        <v>0.6196700000000001</v>
      </c>
      <c r="L69" t="n">
        <v>1.69874</v>
      </c>
      <c r="M69" t="n">
        <v>0.000506049</v>
      </c>
      <c r="N69" t="n">
        <v>0.000506049</v>
      </c>
      <c r="O69" t="n">
        <v>0.000506049</v>
      </c>
    </row>
    <row r="70">
      <c r="A70" t="n">
        <v>69</v>
      </c>
      <c r="B70" t="n">
        <v>15159</v>
      </c>
      <c r="C70" t="n">
        <v>1.23291</v>
      </c>
      <c r="D70" t="n">
        <v>0.5784</v>
      </c>
      <c r="E70" t="n">
        <v>1.50229</v>
      </c>
      <c r="F70" t="n">
        <v>0.85875</v>
      </c>
      <c r="G70" t="n">
        <v>0.74355</v>
      </c>
      <c r="H70" t="n">
        <v>0.81192</v>
      </c>
      <c r="I70" t="n">
        <v>0.4998</v>
      </c>
      <c r="J70" t="n">
        <v>1.28558</v>
      </c>
      <c r="K70" t="n">
        <v>0.6166199999999999</v>
      </c>
      <c r="L70" t="n">
        <v>1.69595</v>
      </c>
      <c r="M70" t="n">
        <v>0.000479531</v>
      </c>
      <c r="N70" t="n">
        <v>0.000479531</v>
      </c>
      <c r="O70" t="n">
        <v>0.000479531</v>
      </c>
    </row>
    <row r="71">
      <c r="A71" t="n">
        <v>70</v>
      </c>
      <c r="B71" t="n">
        <v>15348.9</v>
      </c>
      <c r="C71" t="n">
        <v>1.22847</v>
      </c>
      <c r="D71" t="n">
        <v>0.57108</v>
      </c>
      <c r="E71" t="n">
        <v>1.48537</v>
      </c>
      <c r="F71" t="n">
        <v>0.86303</v>
      </c>
      <c r="G71" t="n">
        <v>0.74432</v>
      </c>
      <c r="H71" t="n">
        <v>0.81333</v>
      </c>
      <c r="I71" t="n">
        <v>0.50146</v>
      </c>
      <c r="J71" t="n">
        <v>1.28424</v>
      </c>
      <c r="K71" t="n">
        <v>0.61613</v>
      </c>
      <c r="L71" t="n">
        <v>1.69553</v>
      </c>
      <c r="M71" t="n">
        <v>0.000453537</v>
      </c>
      <c r="N71" t="n">
        <v>0.000453537</v>
      </c>
      <c r="O71" t="n">
        <v>0.000453537</v>
      </c>
    </row>
    <row r="72">
      <c r="A72" t="n">
        <v>71</v>
      </c>
      <c r="B72" t="n">
        <v>15509.5</v>
      </c>
      <c r="C72" t="n">
        <v>1.22224</v>
      </c>
      <c r="D72" t="n">
        <v>0.57126</v>
      </c>
      <c r="E72" t="n">
        <v>1.48566</v>
      </c>
      <c r="F72" t="n">
        <v>0.86455</v>
      </c>
      <c r="G72" t="n">
        <v>0.74274</v>
      </c>
      <c r="H72" t="n">
        <v>0.81519</v>
      </c>
      <c r="I72" t="n">
        <v>0.50259</v>
      </c>
      <c r="J72" t="n">
        <v>1.2847</v>
      </c>
      <c r="K72" t="n">
        <v>0.61492</v>
      </c>
      <c r="L72" t="n">
        <v>1.69433</v>
      </c>
      <c r="M72" t="n">
        <v>0.000428093</v>
      </c>
      <c r="N72" t="n">
        <v>0.000428093</v>
      </c>
      <c r="O72" t="n">
        <v>0.000428093</v>
      </c>
    </row>
    <row r="73">
      <c r="A73" t="n">
        <v>72</v>
      </c>
      <c r="B73" t="n">
        <v>15663.7</v>
      </c>
      <c r="C73" t="n">
        <v>1.22461</v>
      </c>
      <c r="D73" t="n">
        <v>0.56668</v>
      </c>
      <c r="E73" t="n">
        <v>1.47814</v>
      </c>
      <c r="F73" t="n">
        <v>0.85439</v>
      </c>
      <c r="G73" t="n">
        <v>0.74509</v>
      </c>
      <c r="H73" t="n">
        <v>0.8158</v>
      </c>
      <c r="I73" t="n">
        <v>0.50523</v>
      </c>
      <c r="J73" t="n">
        <v>1.28114</v>
      </c>
      <c r="K73" t="n">
        <v>0.61222</v>
      </c>
      <c r="L73" t="n">
        <v>1.68923</v>
      </c>
      <c r="M73" t="n">
        <v>0.000403222</v>
      </c>
      <c r="N73" t="n">
        <v>0.000403222</v>
      </c>
      <c r="O73" t="n">
        <v>0.000403222</v>
      </c>
    </row>
    <row r="74">
      <c r="A74" t="n">
        <v>73</v>
      </c>
      <c r="B74" t="n">
        <v>15796.1</v>
      </c>
      <c r="C74" t="n">
        <v>1.22705</v>
      </c>
      <c r="D74" t="n">
        <v>0.57172</v>
      </c>
      <c r="E74" t="n">
        <v>1.4918</v>
      </c>
      <c r="F74" t="n">
        <v>0.85988</v>
      </c>
      <c r="G74" t="n">
        <v>0.74678</v>
      </c>
      <c r="H74" t="n">
        <v>0.8162199999999999</v>
      </c>
      <c r="I74" t="n">
        <v>0.50448</v>
      </c>
      <c r="J74" t="n">
        <v>1.28046</v>
      </c>
      <c r="K74" t="n">
        <v>0.6094000000000001</v>
      </c>
      <c r="L74" t="n">
        <v>1.68882</v>
      </c>
      <c r="M74" t="n">
        <v>0.00037895</v>
      </c>
      <c r="N74" t="n">
        <v>0.00037895</v>
      </c>
      <c r="O74" t="n">
        <v>0.00037895</v>
      </c>
    </row>
    <row r="75">
      <c r="A75" t="n">
        <v>74</v>
      </c>
      <c r="B75" t="n">
        <v>17289.3</v>
      </c>
      <c r="C75" t="n">
        <v>1.21911</v>
      </c>
      <c r="D75" t="n">
        <v>0.56642</v>
      </c>
      <c r="E75" t="n">
        <v>1.49178</v>
      </c>
      <c r="F75" t="n">
        <v>0.8574000000000001</v>
      </c>
      <c r="G75" t="n">
        <v>0.75005</v>
      </c>
      <c r="H75" t="n">
        <v>0.81555</v>
      </c>
      <c r="I75" t="n">
        <v>0.50463</v>
      </c>
      <c r="J75" t="n">
        <v>1.27762</v>
      </c>
      <c r="K75" t="n">
        <v>0.6069099999999999</v>
      </c>
      <c r="L75" t="n">
        <v>1.68793</v>
      </c>
      <c r="M75" t="n">
        <v>0.000355301</v>
      </c>
      <c r="N75" t="n">
        <v>0.000355301</v>
      </c>
      <c r="O75" t="n">
        <v>0.000355301</v>
      </c>
    </row>
    <row r="76">
      <c r="A76" t="n">
        <v>75</v>
      </c>
      <c r="B76" t="n">
        <v>17435.4</v>
      </c>
      <c r="C76" t="n">
        <v>1.22177</v>
      </c>
      <c r="D76" t="n">
        <v>0.57034</v>
      </c>
      <c r="E76" t="n">
        <v>1.48531</v>
      </c>
      <c r="F76" t="n">
        <v>0.84975</v>
      </c>
      <c r="G76" t="n">
        <v>0.7544</v>
      </c>
      <c r="H76" t="n">
        <v>0.81591</v>
      </c>
      <c r="I76" t="n">
        <v>0.5053299999999999</v>
      </c>
      <c r="J76" t="n">
        <v>1.27559</v>
      </c>
      <c r="K76" t="n">
        <v>0.60406</v>
      </c>
      <c r="L76" t="n">
        <v>1.68605</v>
      </c>
      <c r="M76" t="n">
        <v>0.000332298</v>
      </c>
      <c r="N76" t="n">
        <v>0.000332298</v>
      </c>
      <c r="O76" t="n">
        <v>0.000332298</v>
      </c>
    </row>
    <row r="77">
      <c r="A77" t="n">
        <v>76</v>
      </c>
      <c r="B77" t="n">
        <v>17588.9</v>
      </c>
      <c r="C77" t="n">
        <v>1.21721</v>
      </c>
      <c r="D77" t="n">
        <v>0.57041</v>
      </c>
      <c r="E77" t="n">
        <v>1.48403</v>
      </c>
      <c r="F77" t="n">
        <v>0.84111</v>
      </c>
      <c r="G77" t="n">
        <v>0.75807</v>
      </c>
      <c r="H77" t="n">
        <v>0.81701</v>
      </c>
      <c r="I77" t="n">
        <v>0.50648</v>
      </c>
      <c r="J77" t="n">
        <v>1.27233</v>
      </c>
      <c r="K77" t="n">
        <v>0.60092</v>
      </c>
      <c r="L77" t="n">
        <v>1.68351</v>
      </c>
      <c r="M77" t="n">
        <v>0.000309964</v>
      </c>
      <c r="N77" t="n">
        <v>0.000309964</v>
      </c>
      <c r="O77" t="n">
        <v>0.000309964</v>
      </c>
    </row>
    <row r="78">
      <c r="A78" t="n">
        <v>77</v>
      </c>
      <c r="B78" t="n">
        <v>17751.5</v>
      </c>
      <c r="C78" t="n">
        <v>1.21699</v>
      </c>
      <c r="D78" t="n">
        <v>0.56345</v>
      </c>
      <c r="E78" t="n">
        <v>1.4809</v>
      </c>
      <c r="F78" t="n">
        <v>0.85004</v>
      </c>
      <c r="G78" t="n">
        <v>0.75452</v>
      </c>
      <c r="H78" t="n">
        <v>0.81743</v>
      </c>
      <c r="I78" t="n">
        <v>0.5073</v>
      </c>
      <c r="J78" t="n">
        <v>1.27267</v>
      </c>
      <c r="K78" t="n">
        <v>0.60197</v>
      </c>
      <c r="L78" t="n">
        <v>1.68234</v>
      </c>
      <c r="M78" t="n">
        <v>0.000288321</v>
      </c>
      <c r="N78" t="n">
        <v>0.000288321</v>
      </c>
      <c r="O78" t="n">
        <v>0.000288321</v>
      </c>
    </row>
    <row r="79">
      <c r="A79" t="n">
        <v>78</v>
      </c>
      <c r="B79" t="n">
        <v>17893.6</v>
      </c>
      <c r="C79" t="n">
        <v>1.21488</v>
      </c>
      <c r="D79" t="n">
        <v>0.56382</v>
      </c>
      <c r="E79" t="n">
        <v>1.48161</v>
      </c>
      <c r="F79" t="n">
        <v>0.85083</v>
      </c>
      <c r="G79" t="n">
        <v>0.75308</v>
      </c>
      <c r="H79" t="n">
        <v>0.81692</v>
      </c>
      <c r="I79" t="n">
        <v>0.50754</v>
      </c>
      <c r="J79" t="n">
        <v>1.27428</v>
      </c>
      <c r="K79" t="n">
        <v>0.60224</v>
      </c>
      <c r="L79" t="n">
        <v>1.68276</v>
      </c>
      <c r="M79" t="n">
        <v>0.00026739</v>
      </c>
      <c r="N79" t="n">
        <v>0.00026739</v>
      </c>
      <c r="O79" t="n">
        <v>0.00026739</v>
      </c>
    </row>
    <row r="80">
      <c r="A80" t="n">
        <v>79</v>
      </c>
      <c r="B80" t="n">
        <v>18043.2</v>
      </c>
      <c r="C80" t="n">
        <v>1.21738</v>
      </c>
      <c r="D80" t="n">
        <v>0.56146</v>
      </c>
      <c r="E80" t="n">
        <v>1.47479</v>
      </c>
      <c r="F80" t="n">
        <v>0.85614</v>
      </c>
      <c r="G80" t="n">
        <v>0.75054</v>
      </c>
      <c r="H80" t="n">
        <v>0.8166</v>
      </c>
      <c r="I80" t="n">
        <v>0.50776</v>
      </c>
      <c r="J80" t="n">
        <v>1.27603</v>
      </c>
      <c r="K80" t="n">
        <v>0.60303</v>
      </c>
      <c r="L80" t="n">
        <v>1.68327</v>
      </c>
      <c r="M80" t="n">
        <v>0.000247192</v>
      </c>
      <c r="N80" t="n">
        <v>0.000247192</v>
      </c>
      <c r="O80" t="n">
        <v>0.000247192</v>
      </c>
    </row>
    <row r="81">
      <c r="A81" t="n">
        <v>80</v>
      </c>
      <c r="B81" t="n">
        <v>18265.5</v>
      </c>
      <c r="C81" t="n">
        <v>1.2038</v>
      </c>
      <c r="D81" t="n">
        <v>0.55103</v>
      </c>
      <c r="E81" t="n">
        <v>1.47261</v>
      </c>
      <c r="F81" t="n">
        <v>0.85938</v>
      </c>
      <c r="G81" t="n">
        <v>0.75016</v>
      </c>
      <c r="H81" t="n">
        <v>0.81881</v>
      </c>
      <c r="I81" t="n">
        <v>0.5084</v>
      </c>
      <c r="J81" t="n">
        <v>1.27596</v>
      </c>
      <c r="K81" t="n">
        <v>0.60429</v>
      </c>
      <c r="L81" t="n">
        <v>1.68242</v>
      </c>
      <c r="M81" t="n">
        <v>0.000227747</v>
      </c>
      <c r="N81" t="n">
        <v>0.000227747</v>
      </c>
      <c r="O81" t="n">
        <v>0.000227747</v>
      </c>
    </row>
    <row r="82">
      <c r="A82" t="n">
        <v>81</v>
      </c>
      <c r="B82" t="n">
        <v>18435.9</v>
      </c>
      <c r="C82" t="n">
        <v>1.19966</v>
      </c>
      <c r="D82" t="n">
        <v>0.5568</v>
      </c>
      <c r="E82" t="n">
        <v>1.47827</v>
      </c>
      <c r="F82" t="n">
        <v>0.8541800000000001</v>
      </c>
      <c r="G82" t="n">
        <v>0.75408</v>
      </c>
      <c r="H82" t="n">
        <v>0.81799</v>
      </c>
      <c r="I82" t="n">
        <v>0.50842</v>
      </c>
      <c r="J82" t="n">
        <v>1.27563</v>
      </c>
      <c r="K82" t="n">
        <v>0.60376</v>
      </c>
      <c r="L82" t="n">
        <v>1.68227</v>
      </c>
      <c r="M82" t="n">
        <v>0.000209073</v>
      </c>
      <c r="N82" t="n">
        <v>0.000209073</v>
      </c>
      <c r="O82" t="n">
        <v>0.000209073</v>
      </c>
    </row>
    <row r="83">
      <c r="A83" t="n">
        <v>82</v>
      </c>
      <c r="B83" t="n">
        <v>18561.8</v>
      </c>
      <c r="C83" t="n">
        <v>1.20554</v>
      </c>
      <c r="D83" t="n">
        <v>0.5537300000000001</v>
      </c>
      <c r="E83" t="n">
        <v>1.46994</v>
      </c>
      <c r="F83" t="n">
        <v>0.85633</v>
      </c>
      <c r="G83" t="n">
        <v>0.752</v>
      </c>
      <c r="H83" t="n">
        <v>0.81862</v>
      </c>
      <c r="I83" t="n">
        <v>0.50822</v>
      </c>
      <c r="J83" t="n">
        <v>1.274</v>
      </c>
      <c r="K83" t="n">
        <v>0.60266</v>
      </c>
      <c r="L83" t="n">
        <v>1.68156</v>
      </c>
      <c r="M83" t="n">
        <v>0.00019119</v>
      </c>
      <c r="N83" t="n">
        <v>0.00019119</v>
      </c>
      <c r="O83" t="n">
        <v>0.00019119</v>
      </c>
    </row>
    <row r="84">
      <c r="A84" t="n">
        <v>83</v>
      </c>
      <c r="B84" t="n">
        <v>19964.4</v>
      </c>
      <c r="C84" t="n">
        <v>1.20395</v>
      </c>
      <c r="D84" t="n">
        <v>0.55297</v>
      </c>
      <c r="E84" t="n">
        <v>1.47103</v>
      </c>
      <c r="F84" t="n">
        <v>0.8535</v>
      </c>
      <c r="G84" t="n">
        <v>0.75295</v>
      </c>
      <c r="H84" t="n">
        <v>0.81808</v>
      </c>
      <c r="I84" t="n">
        <v>0.5077199999999999</v>
      </c>
      <c r="J84" t="n">
        <v>1.27347</v>
      </c>
      <c r="K84" t="n">
        <v>0.6019</v>
      </c>
      <c r="L84" t="n">
        <v>1.68149</v>
      </c>
      <c r="M84" t="n">
        <v>0.000174115</v>
      </c>
      <c r="N84" t="n">
        <v>0.000174115</v>
      </c>
      <c r="O84" t="n">
        <v>0.000174115</v>
      </c>
    </row>
    <row r="85">
      <c r="A85" t="n">
        <v>84</v>
      </c>
      <c r="B85" t="n">
        <v>20105.5</v>
      </c>
      <c r="C85" t="n">
        <v>1.21172</v>
      </c>
      <c r="D85" t="n">
        <v>0.55504</v>
      </c>
      <c r="E85" t="n">
        <v>1.47842</v>
      </c>
      <c r="F85" t="n">
        <v>0.85212</v>
      </c>
      <c r="G85" t="n">
        <v>0.75457</v>
      </c>
      <c r="H85" t="n">
        <v>0.81738</v>
      </c>
      <c r="I85" t="n">
        <v>0.50743</v>
      </c>
      <c r="J85" t="n">
        <v>1.27318</v>
      </c>
      <c r="K85" t="n">
        <v>0.6012999999999999</v>
      </c>
      <c r="L85" t="n">
        <v>1.68062</v>
      </c>
      <c r="M85" t="n">
        <v>0.000157865</v>
      </c>
      <c r="N85" t="n">
        <v>0.000157865</v>
      </c>
      <c r="O85" t="n">
        <v>0.000157865</v>
      </c>
    </row>
    <row r="86">
      <c r="A86" t="n">
        <v>85</v>
      </c>
      <c r="B86" t="n">
        <v>20261.1</v>
      </c>
      <c r="C86" t="n">
        <v>1.20922</v>
      </c>
      <c r="D86" t="n">
        <v>0.5589499999999999</v>
      </c>
      <c r="E86" t="n">
        <v>1.48232</v>
      </c>
      <c r="F86" t="n">
        <v>0.85332</v>
      </c>
      <c r="G86" t="n">
        <v>0.7544999999999999</v>
      </c>
      <c r="H86" t="n">
        <v>0.81796</v>
      </c>
      <c r="I86" t="n">
        <v>0.50822</v>
      </c>
      <c r="J86" t="n">
        <v>1.27225</v>
      </c>
      <c r="K86" t="n">
        <v>0.59988</v>
      </c>
      <c r="L86" t="n">
        <v>1.67949</v>
      </c>
      <c r="M86" t="n">
        <v>0.000142456</v>
      </c>
      <c r="N86" t="n">
        <v>0.000142456</v>
      </c>
      <c r="O86" t="n">
        <v>0.000142456</v>
      </c>
    </row>
    <row r="87">
      <c r="A87" t="n">
        <v>86</v>
      </c>
      <c r="B87" t="n">
        <v>20422.3</v>
      </c>
      <c r="C87" t="n">
        <v>1.19537</v>
      </c>
      <c r="D87" t="n">
        <v>0.54574</v>
      </c>
      <c r="E87" t="n">
        <v>1.47157</v>
      </c>
      <c r="F87" t="n">
        <v>0.85244</v>
      </c>
      <c r="G87" t="n">
        <v>0.75407</v>
      </c>
      <c r="H87" t="n">
        <v>0.81694</v>
      </c>
      <c r="I87" t="n">
        <v>0.50851</v>
      </c>
      <c r="J87" t="n">
        <v>1.27143</v>
      </c>
      <c r="K87" t="n">
        <v>0.59958</v>
      </c>
      <c r="L87" t="n">
        <v>1.67931</v>
      </c>
      <c r="M87" t="n">
        <v>0.000127904</v>
      </c>
      <c r="N87" t="n">
        <v>0.000127904</v>
      </c>
      <c r="O87" t="n">
        <v>0.000127904</v>
      </c>
    </row>
    <row r="88">
      <c r="A88" t="n">
        <v>87</v>
      </c>
      <c r="B88" t="n">
        <v>20622.5</v>
      </c>
      <c r="C88" t="n">
        <v>1.19919</v>
      </c>
      <c r="D88" t="n">
        <v>0.55038</v>
      </c>
      <c r="E88" t="n">
        <v>1.46979</v>
      </c>
      <c r="F88" t="n">
        <v>0.85521</v>
      </c>
      <c r="G88" t="n">
        <v>0.755</v>
      </c>
      <c r="H88" t="n">
        <v>0.81802</v>
      </c>
      <c r="I88" t="n">
        <v>0.50843</v>
      </c>
      <c r="J88" t="n">
        <v>1.27047</v>
      </c>
      <c r="K88" t="n">
        <v>0.59938</v>
      </c>
      <c r="L88" t="n">
        <v>1.67812</v>
      </c>
      <c r="M88" t="n">
        <v>0.000114221</v>
      </c>
      <c r="N88" t="n">
        <v>0.000114221</v>
      </c>
      <c r="O88" t="n">
        <v>0.000114221</v>
      </c>
    </row>
    <row r="89">
      <c r="A89" t="n">
        <v>88</v>
      </c>
      <c r="B89" t="n">
        <v>20882.6</v>
      </c>
      <c r="C89" t="n">
        <v>1.19707</v>
      </c>
      <c r="D89" t="n">
        <v>0.54732</v>
      </c>
      <c r="E89" t="n">
        <v>1.47285</v>
      </c>
      <c r="F89" t="n">
        <v>0.85481</v>
      </c>
      <c r="G89" t="n">
        <v>0.75514</v>
      </c>
      <c r="H89" t="n">
        <v>0.81821</v>
      </c>
      <c r="I89" t="n">
        <v>0.50872</v>
      </c>
      <c r="J89" t="n">
        <v>1.2697</v>
      </c>
      <c r="K89" t="n">
        <v>0.5979</v>
      </c>
      <c r="L89" t="n">
        <v>1.67794</v>
      </c>
      <c r="M89" t="n">
        <v>0.000101423</v>
      </c>
      <c r="N89" t="n">
        <v>0.000101423</v>
      </c>
      <c r="O89" t="n">
        <v>0.000101423</v>
      </c>
    </row>
    <row r="90">
      <c r="A90" t="n">
        <v>89</v>
      </c>
      <c r="B90" t="n">
        <v>21036.6</v>
      </c>
      <c r="C90" t="n">
        <v>1.1988</v>
      </c>
      <c r="D90" t="n">
        <v>0.55206</v>
      </c>
      <c r="E90" t="n">
        <v>1.46642</v>
      </c>
      <c r="F90" t="n">
        <v>0.85955</v>
      </c>
      <c r="G90" t="n">
        <v>0.75285</v>
      </c>
      <c r="H90" t="n">
        <v>0.81835</v>
      </c>
      <c r="I90" t="n">
        <v>0.50906</v>
      </c>
      <c r="J90" t="n">
        <v>1.26905</v>
      </c>
      <c r="K90" t="n">
        <v>0.59716</v>
      </c>
      <c r="L90" t="n">
        <v>1.67721</v>
      </c>
      <c r="M90" t="n">
        <v>8.952130000000001e-05</v>
      </c>
      <c r="N90" t="n">
        <v>8.952130000000001e-05</v>
      </c>
      <c r="O90" t="n">
        <v>8.952130000000001e-05</v>
      </c>
    </row>
    <row r="91">
      <c r="A91" t="n">
        <v>90</v>
      </c>
      <c r="B91" t="n">
        <v>21172.2</v>
      </c>
      <c r="C91" t="n">
        <v>1.19488</v>
      </c>
      <c r="D91" t="n">
        <v>0.54744</v>
      </c>
      <c r="E91" t="n">
        <v>1.4681</v>
      </c>
      <c r="F91" t="n">
        <v>0.86185</v>
      </c>
      <c r="G91" t="n">
        <v>0.75117</v>
      </c>
      <c r="H91" t="n">
        <v>0.81792</v>
      </c>
      <c r="I91" t="n">
        <v>0.50881</v>
      </c>
      <c r="J91" t="n">
        <v>1.26868</v>
      </c>
      <c r="K91" t="n">
        <v>0.59612</v>
      </c>
      <c r="L91" t="n">
        <v>1.67671</v>
      </c>
      <c r="M91" t="n">
        <v>7.8528e-05</v>
      </c>
      <c r="N91" t="n">
        <v>7.8528e-05</v>
      </c>
      <c r="O91" t="n">
        <v>7.8528e-05</v>
      </c>
    </row>
    <row r="92">
      <c r="A92" t="n">
        <v>91</v>
      </c>
      <c r="B92" t="n">
        <v>22858.7</v>
      </c>
      <c r="C92" t="n">
        <v>1.16319</v>
      </c>
      <c r="D92" t="n">
        <v>0.4973</v>
      </c>
      <c r="E92" t="n">
        <v>1.46059</v>
      </c>
      <c r="F92" t="n">
        <v>0.86455</v>
      </c>
      <c r="G92" t="n">
        <v>0.74807</v>
      </c>
      <c r="H92" t="n">
        <v>0.8182</v>
      </c>
      <c r="I92" t="n">
        <v>0.50913</v>
      </c>
      <c r="J92" t="n">
        <v>1.26769</v>
      </c>
      <c r="K92" t="n">
        <v>0.59578</v>
      </c>
      <c r="L92" t="n">
        <v>1.67562</v>
      </c>
      <c r="M92" t="n">
        <v>6.845400000000001e-05</v>
      </c>
      <c r="N92" t="n">
        <v>6.845400000000001e-05</v>
      </c>
      <c r="O92" t="n">
        <v>6.845400000000001e-05</v>
      </c>
    </row>
    <row r="93">
      <c r="A93" t="n">
        <v>92</v>
      </c>
      <c r="B93" t="n">
        <v>23023.2</v>
      </c>
      <c r="C93" t="n">
        <v>1.15747</v>
      </c>
      <c r="D93" t="n">
        <v>0.49313</v>
      </c>
      <c r="E93" t="n">
        <v>1.45928</v>
      </c>
      <c r="F93" t="n">
        <v>0.86208</v>
      </c>
      <c r="G93" t="n">
        <v>0.74777</v>
      </c>
      <c r="H93" t="n">
        <v>0.81742</v>
      </c>
      <c r="I93" t="n">
        <v>0.50876</v>
      </c>
      <c r="J93" t="n">
        <v>1.26723</v>
      </c>
      <c r="K93" t="n">
        <v>0.59471</v>
      </c>
      <c r="L93" t="n">
        <v>1.67573</v>
      </c>
      <c r="M93" t="n">
        <v>5.93093e-05</v>
      </c>
      <c r="N93" t="n">
        <v>5.93093e-05</v>
      </c>
      <c r="O93" t="n">
        <v>5.93093e-05</v>
      </c>
    </row>
    <row r="94">
      <c r="A94" t="n">
        <v>93</v>
      </c>
      <c r="B94" t="n">
        <v>23173.1</v>
      </c>
      <c r="C94" t="n">
        <v>1.15292</v>
      </c>
      <c r="D94" t="n">
        <v>0.49271</v>
      </c>
      <c r="E94" t="n">
        <v>1.45155</v>
      </c>
      <c r="F94" t="n">
        <v>0.85793</v>
      </c>
      <c r="G94" t="n">
        <v>0.74881</v>
      </c>
      <c r="H94" t="n">
        <v>0.81698</v>
      </c>
      <c r="I94" t="n">
        <v>0.50848</v>
      </c>
      <c r="J94" t="n">
        <v>1.2666</v>
      </c>
      <c r="K94" t="n">
        <v>0.59388</v>
      </c>
      <c r="L94" t="n">
        <v>1.67581</v>
      </c>
      <c r="M94" t="n">
        <v>5.11027e-05</v>
      </c>
      <c r="N94" t="n">
        <v>5.11027e-05</v>
      </c>
      <c r="O94" t="n">
        <v>5.11027e-05</v>
      </c>
    </row>
    <row r="95">
      <c r="A95" t="n">
        <v>94</v>
      </c>
      <c r="B95" t="n">
        <v>23316.6</v>
      </c>
      <c r="C95" t="n">
        <v>1.1652</v>
      </c>
      <c r="D95" t="n">
        <v>0.4915</v>
      </c>
      <c r="E95" t="n">
        <v>1.45691</v>
      </c>
      <c r="F95" t="n">
        <v>0.85642</v>
      </c>
      <c r="G95" t="n">
        <v>0.74896</v>
      </c>
      <c r="H95" t="n">
        <v>0.81703</v>
      </c>
      <c r="I95" t="n">
        <v>0.5091</v>
      </c>
      <c r="J95" t="n">
        <v>1.26635</v>
      </c>
      <c r="K95" t="n">
        <v>0.59352</v>
      </c>
      <c r="L95" t="n">
        <v>1.67586</v>
      </c>
      <c r="M95" t="n">
        <v>4.38424e-05</v>
      </c>
      <c r="N95" t="n">
        <v>4.38424e-05</v>
      </c>
      <c r="O95" t="n">
        <v>4.38424e-05</v>
      </c>
    </row>
    <row r="96">
      <c r="A96" t="n">
        <v>95</v>
      </c>
      <c r="B96" t="n">
        <v>23621.8</v>
      </c>
      <c r="C96" t="n">
        <v>1.156</v>
      </c>
      <c r="D96" t="n">
        <v>0.48787</v>
      </c>
      <c r="E96" t="n">
        <v>1.44995</v>
      </c>
      <c r="F96" t="n">
        <v>0.85594</v>
      </c>
      <c r="G96" t="n">
        <v>0.74931</v>
      </c>
      <c r="H96" t="n">
        <v>0.81707</v>
      </c>
      <c r="I96" t="n">
        <v>0.50918</v>
      </c>
      <c r="J96" t="n">
        <v>1.26575</v>
      </c>
      <c r="K96" t="n">
        <v>0.59337</v>
      </c>
      <c r="L96" t="n">
        <v>1.67596</v>
      </c>
      <c r="M96" t="n">
        <v>3.75356e-05</v>
      </c>
      <c r="N96" t="n">
        <v>3.75356e-05</v>
      </c>
      <c r="O96" t="n">
        <v>3.75356e-05</v>
      </c>
    </row>
    <row r="97">
      <c r="A97" t="n">
        <v>96</v>
      </c>
      <c r="B97" t="n">
        <v>23757.4</v>
      </c>
      <c r="C97" t="n">
        <v>1.15537</v>
      </c>
      <c r="D97" t="n">
        <v>0.49056</v>
      </c>
      <c r="E97" t="n">
        <v>1.45444</v>
      </c>
      <c r="F97" t="n">
        <v>0.85354</v>
      </c>
      <c r="G97" t="n">
        <v>0.7502799999999999</v>
      </c>
      <c r="H97" t="n">
        <v>0.81674</v>
      </c>
      <c r="I97" t="n">
        <v>0.5092</v>
      </c>
      <c r="J97" t="n">
        <v>1.26533</v>
      </c>
      <c r="K97" t="n">
        <v>0.59354</v>
      </c>
      <c r="L97" t="n">
        <v>1.67551</v>
      </c>
      <c r="M97" t="n">
        <v>3.21885e-05</v>
      </c>
      <c r="N97" t="n">
        <v>3.21885e-05</v>
      </c>
      <c r="O97" t="n">
        <v>3.21885e-05</v>
      </c>
    </row>
    <row r="98">
      <c r="A98" t="n">
        <v>97</v>
      </c>
      <c r="B98" t="n">
        <v>23939.7</v>
      </c>
      <c r="C98" t="n">
        <v>1.15645</v>
      </c>
      <c r="D98" t="n">
        <v>0.48722</v>
      </c>
      <c r="E98" t="n">
        <v>1.45193</v>
      </c>
      <c r="F98" t="n">
        <v>0.85376</v>
      </c>
      <c r="G98" t="n">
        <v>0.75056</v>
      </c>
      <c r="H98" t="n">
        <v>0.81679</v>
      </c>
      <c r="I98" t="n">
        <v>0.50935</v>
      </c>
      <c r="J98" t="n">
        <v>1.26505</v>
      </c>
      <c r="K98" t="n">
        <v>0.59323</v>
      </c>
      <c r="L98" t="n">
        <v>1.67548</v>
      </c>
      <c r="M98" t="n">
        <v>2.78064e-05</v>
      </c>
      <c r="N98" t="n">
        <v>2.78064e-05</v>
      </c>
      <c r="O98" t="n">
        <v>2.78064e-05</v>
      </c>
    </row>
    <row r="99">
      <c r="A99" t="n">
        <v>98</v>
      </c>
      <c r="B99" t="n">
        <v>24105.6</v>
      </c>
      <c r="C99" t="n">
        <v>1.15296</v>
      </c>
      <c r="D99" t="n">
        <v>0.49197</v>
      </c>
      <c r="E99" t="n">
        <v>1.45174</v>
      </c>
      <c r="F99" t="n">
        <v>0.85341</v>
      </c>
      <c r="G99" t="n">
        <v>0.7494499999999999</v>
      </c>
      <c r="H99" t="n">
        <v>0.81664</v>
      </c>
      <c r="I99" t="n">
        <v>0.50986</v>
      </c>
      <c r="J99" t="n">
        <v>1.26476</v>
      </c>
      <c r="K99" t="n">
        <v>0.59285</v>
      </c>
      <c r="L99" t="n">
        <v>1.67536</v>
      </c>
      <c r="M99" t="n">
        <v>2.43937e-05</v>
      </c>
      <c r="N99" t="n">
        <v>2.43937e-05</v>
      </c>
      <c r="O99" t="n">
        <v>2.43937e-05</v>
      </c>
    </row>
    <row r="100">
      <c r="A100" t="n">
        <v>99</v>
      </c>
      <c r="B100" t="n">
        <v>24266.9</v>
      </c>
      <c r="C100" t="n">
        <v>1.15572</v>
      </c>
      <c r="D100" t="n">
        <v>0.48635</v>
      </c>
      <c r="E100" t="n">
        <v>1.4548</v>
      </c>
      <c r="F100" t="n">
        <v>0.85455</v>
      </c>
      <c r="G100" t="n">
        <v>0.74883</v>
      </c>
      <c r="H100" t="n">
        <v>0.81687</v>
      </c>
      <c r="I100" t="n">
        <v>0.50984</v>
      </c>
      <c r="J100" t="n">
        <v>1.26459</v>
      </c>
      <c r="K100" t="n">
        <v>0.59251</v>
      </c>
      <c r="L100" t="n">
        <v>1.67538</v>
      </c>
      <c r="M100" t="n">
        <v>2.19535e-05</v>
      </c>
      <c r="N100" t="n">
        <v>2.19535e-05</v>
      </c>
      <c r="O100" t="n">
        <v>2.19535e-05</v>
      </c>
    </row>
    <row r="101">
      <c r="A101" t="n">
        <v>100</v>
      </c>
      <c r="B101" t="n">
        <v>24780.6</v>
      </c>
      <c r="C101" t="n">
        <v>1.15395</v>
      </c>
      <c r="D101" t="n">
        <v>0.49113</v>
      </c>
      <c r="E101" t="n">
        <v>1.44984</v>
      </c>
      <c r="F101" t="n">
        <v>0.85547</v>
      </c>
      <c r="G101" t="n">
        <v>0.74702</v>
      </c>
      <c r="H101" t="n">
        <v>0.81648</v>
      </c>
      <c r="I101" t="n">
        <v>0.5099900000000001</v>
      </c>
      <c r="J101" t="n">
        <v>1.26436</v>
      </c>
      <c r="K101" t="n">
        <v>0.59257</v>
      </c>
      <c r="L101" t="n">
        <v>1.67537</v>
      </c>
      <c r="M101" t="n">
        <v>2.04885e-05</v>
      </c>
      <c r="N101" t="n">
        <v>2.04885e-05</v>
      </c>
      <c r="O101" t="n">
        <v>2.04885e-05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MODEL ===</f>
        <v/>
      </c>
      <c r="B2" t="inlineStr"/>
    </row>
    <row r="3">
      <c r="A3" t="inlineStr">
        <is>
          <t>model</t>
        </is>
      </c>
      <c r="B3" t="inlineStr">
        <is>
          <t>C:/Users/Admin/Desktop/bitirme/FoMACBitirme/model-training/player-detection/models/football_detector_optimized/weights/best.pt</t>
        </is>
      </c>
    </row>
    <row r="4">
      <c r="A4" t="inlineStr"/>
      <c r="B4" t="inlineStr"/>
    </row>
    <row r="5">
      <c r="A5">
        <f>== IMGSZ ===</f>
        <v/>
      </c>
      <c r="B5" t="inlineStr"/>
    </row>
    <row r="6">
      <c r="A6" t="inlineStr">
        <is>
          <t>imgsz</t>
        </is>
      </c>
      <c r="B6" t="inlineStr">
        <is>
          <t>1024</t>
        </is>
      </c>
    </row>
    <row r="7">
      <c r="A7" t="inlineStr"/>
      <c r="B7" t="inlineStr"/>
    </row>
    <row r="8">
      <c r="A8">
        <f>== BATCH ===</f>
        <v/>
      </c>
      <c r="B8" t="inlineStr"/>
    </row>
    <row r="9">
      <c r="A9" t="inlineStr">
        <is>
          <t>batch</t>
        </is>
      </c>
      <c r="B9" t="inlineStr">
        <is>
          <t>12</t>
        </is>
      </c>
    </row>
    <row r="10">
      <c r="A10" t="inlineStr"/>
      <c r="B10" t="inlineStr"/>
    </row>
    <row r="11">
      <c r="A11">
        <f>== EPOCHS ===</f>
        <v/>
      </c>
      <c r="B11" t="inlineStr"/>
    </row>
    <row r="12">
      <c r="A12" t="inlineStr">
        <is>
          <t>epochs</t>
        </is>
      </c>
      <c r="B12" t="inlineStr">
        <is>
          <t>100</t>
        </is>
      </c>
    </row>
    <row r="13">
      <c r="A13" t="inlineStr"/>
      <c r="B13" t="inlineStr"/>
    </row>
    <row r="14">
      <c r="A14">
        <f>== PRETRAINED ===</f>
        <v/>
      </c>
      <c r="B14" t="inlineStr"/>
    </row>
    <row r="15">
      <c r="A15" t="inlineStr">
        <is>
          <t>pretrained</t>
        </is>
      </c>
      <c r="B15" t="inlineStr">
        <is>
          <t>True</t>
        </is>
      </c>
    </row>
    <row r="16">
      <c r="A16" t="inlineStr"/>
      <c r="B16" t="inlineStr"/>
    </row>
    <row r="17">
      <c r="A17">
        <f>== OPTIMIZER ===</f>
        <v/>
      </c>
      <c r="B17" t="inlineStr"/>
    </row>
    <row r="18">
      <c r="A18" t="inlineStr">
        <is>
          <t>optimizer</t>
        </is>
      </c>
      <c r="B18" t="inlineStr">
        <is>
          <t>AdamW</t>
        </is>
      </c>
    </row>
    <row r="19">
      <c r="A19" t="inlineStr"/>
      <c r="B19" t="inlineStr"/>
    </row>
    <row r="20">
      <c r="A20">
        <f>== LR0 ===</f>
        <v/>
      </c>
      <c r="B20" t="inlineStr"/>
    </row>
    <row r="21">
      <c r="A21" t="inlineStr">
        <is>
          <t>lr0</t>
        </is>
      </c>
      <c r="B21" t="inlineStr">
        <is>
          <t>0.002</t>
        </is>
      </c>
    </row>
    <row r="22">
      <c r="A22" t="inlineStr"/>
      <c r="B22" t="inlineStr"/>
    </row>
    <row r="23">
      <c r="A23">
        <f>== LRF ===</f>
        <v/>
      </c>
      <c r="B23" t="inlineStr"/>
    </row>
    <row r="24">
      <c r="A24" t="inlineStr">
        <is>
          <t>lrf</t>
        </is>
      </c>
      <c r="B24" t="inlineStr">
        <is>
          <t>0.01</t>
        </is>
      </c>
    </row>
    <row r="25">
      <c r="A25" t="inlineStr"/>
      <c r="B25" t="inlineStr"/>
    </row>
    <row r="26">
      <c r="A26">
        <f>== MOMENTUM ===</f>
        <v/>
      </c>
      <c r="B26" t="inlineStr"/>
    </row>
    <row r="27">
      <c r="A27" t="inlineStr">
        <is>
          <t>momentum</t>
        </is>
      </c>
      <c r="B27" t="inlineStr">
        <is>
          <t>0.937</t>
        </is>
      </c>
    </row>
    <row r="28">
      <c r="A28" t="inlineStr"/>
      <c r="B28" t="inlineStr"/>
    </row>
    <row r="29">
      <c r="A29">
        <f>== WEIGHT_DECAY ===</f>
        <v/>
      </c>
      <c r="B29" t="inlineStr"/>
    </row>
    <row r="30">
      <c r="A30" t="inlineStr">
        <is>
          <t>weight_decay</t>
        </is>
      </c>
      <c r="B30" t="inlineStr">
        <is>
          <t>0.0005</t>
        </is>
      </c>
    </row>
    <row r="31">
      <c r="A31" t="inlineStr"/>
      <c r="B31" t="inlineStr"/>
    </row>
    <row r="32">
      <c r="A32">
        <f>== WARMUP_EPOCHS ===</f>
        <v/>
      </c>
      <c r="B32" t="inlineStr"/>
    </row>
    <row r="33">
      <c r="A33" t="inlineStr">
        <is>
          <t>warmup_epochs</t>
        </is>
      </c>
      <c r="B33" t="inlineStr">
        <is>
          <t>4</t>
        </is>
      </c>
    </row>
    <row r="34">
      <c r="A34" t="inlineStr"/>
      <c r="B34" t="inlineStr"/>
    </row>
    <row r="35">
      <c r="A35">
        <f>== WARMUP_MOMENTUM ===</f>
        <v/>
      </c>
      <c r="B35" t="inlineStr"/>
    </row>
    <row r="36">
      <c r="A36" t="inlineStr">
        <is>
          <t>warmup_momentum</t>
        </is>
      </c>
      <c r="B36" t="inlineStr">
        <is>
          <t>0.8</t>
        </is>
      </c>
    </row>
    <row r="37">
      <c r="A37" t="inlineStr"/>
      <c r="B37" t="inlineStr"/>
    </row>
    <row r="38">
      <c r="A38">
        <f>== WARMUP_BIAS_LR ===</f>
        <v/>
      </c>
      <c r="B38" t="inlineStr"/>
    </row>
    <row r="39">
      <c r="A39" t="inlineStr">
        <is>
          <t>warmup_bias_lr</t>
        </is>
      </c>
      <c r="B39" t="inlineStr">
        <is>
          <t>0.1</t>
        </is>
      </c>
    </row>
    <row r="40">
      <c r="A40" t="inlineStr"/>
      <c r="B40" t="inlineStr"/>
    </row>
    <row r="41">
      <c r="A41">
        <f>== BOX ===</f>
        <v/>
      </c>
      <c r="B41" t="inlineStr"/>
    </row>
    <row r="42">
      <c r="A42" t="inlineStr">
        <is>
          <t>box</t>
        </is>
      </c>
      <c r="B42" t="inlineStr">
        <is>
          <t>7.5</t>
        </is>
      </c>
    </row>
    <row r="43">
      <c r="A43" t="inlineStr"/>
      <c r="B43" t="inlineStr"/>
    </row>
    <row r="44">
      <c r="A44">
        <f>== CLS ===</f>
        <v/>
      </c>
      <c r="B44" t="inlineStr"/>
    </row>
    <row r="45">
      <c r="A45" t="inlineStr">
        <is>
          <t>cls</t>
        </is>
      </c>
      <c r="B45" t="inlineStr">
        <is>
          <t>0.4</t>
        </is>
      </c>
    </row>
    <row r="46">
      <c r="A46" t="inlineStr"/>
      <c r="B46" t="inlineStr"/>
    </row>
    <row r="47">
      <c r="A47">
        <f>== DFL ===</f>
        <v/>
      </c>
      <c r="B47" t="inlineStr"/>
    </row>
    <row r="48">
      <c r="A48" t="inlineStr">
        <is>
          <t>dfl</t>
        </is>
      </c>
      <c r="B48" t="inlineStr">
        <is>
          <t>2.0</t>
        </is>
      </c>
    </row>
    <row r="49">
      <c r="A49" t="inlineStr"/>
      <c r="B49" t="inlineStr"/>
    </row>
    <row r="50">
      <c r="A50">
        <f>== HSV_H ===</f>
        <v/>
      </c>
      <c r="B50" t="inlineStr"/>
    </row>
    <row r="51">
      <c r="A51" t="inlineStr">
        <is>
          <t>hsv_h</t>
        </is>
      </c>
      <c r="B51" t="inlineStr">
        <is>
          <t>0.02</t>
        </is>
      </c>
    </row>
    <row r="52">
      <c r="A52" t="inlineStr"/>
      <c r="B52" t="inlineStr"/>
    </row>
    <row r="53">
      <c r="A53">
        <f>== HSV_S ===</f>
        <v/>
      </c>
      <c r="B53" t="inlineStr"/>
    </row>
    <row r="54">
      <c r="A54" t="inlineStr">
        <is>
          <t>hsv_s</t>
        </is>
      </c>
      <c r="B54" t="inlineStr">
        <is>
          <t>0.5</t>
        </is>
      </c>
    </row>
    <row r="55">
      <c r="A55" t="inlineStr"/>
      <c r="B55" t="inlineStr"/>
    </row>
    <row r="56">
      <c r="A56">
        <f>== HSV_V ===</f>
        <v/>
      </c>
      <c r="B56" t="inlineStr"/>
    </row>
    <row r="57">
      <c r="A57" t="inlineStr">
        <is>
          <t>hsv_v</t>
        </is>
      </c>
      <c r="B57" t="inlineStr">
        <is>
          <t>0.4</t>
        </is>
      </c>
    </row>
    <row r="58">
      <c r="A58" t="inlineStr"/>
      <c r="B58" t="inlineStr"/>
    </row>
    <row r="59">
      <c r="A59">
        <f>== DEGREES ===</f>
        <v/>
      </c>
      <c r="B59" t="inlineStr"/>
    </row>
    <row r="60">
      <c r="A60" t="inlineStr">
        <is>
          <t>degrees</t>
        </is>
      </c>
      <c r="B60" t="inlineStr">
        <is>
          <t>3.0</t>
        </is>
      </c>
    </row>
    <row r="61">
      <c r="A61" t="inlineStr"/>
      <c r="B61" t="inlineStr"/>
    </row>
    <row r="62">
      <c r="A62">
        <f>== TRANSLATE ===</f>
        <v/>
      </c>
      <c r="B62" t="inlineStr"/>
    </row>
    <row r="63">
      <c r="A63" t="inlineStr">
        <is>
          <t>translate</t>
        </is>
      </c>
      <c r="B63" t="inlineStr">
        <is>
          <t>0.1</t>
        </is>
      </c>
    </row>
    <row r="64">
      <c r="A64" t="inlineStr"/>
      <c r="B64" t="inlineStr"/>
    </row>
    <row r="65">
      <c r="A65">
        <f>== SCALE ===</f>
        <v/>
      </c>
      <c r="B65" t="inlineStr"/>
    </row>
    <row r="66">
      <c r="A66" t="inlineStr">
        <is>
          <t>scale</t>
        </is>
      </c>
      <c r="B66" t="inlineStr">
        <is>
          <t>0.5</t>
        </is>
      </c>
    </row>
    <row r="67">
      <c r="A67" t="inlineStr"/>
      <c r="B67" t="inlineStr"/>
    </row>
    <row r="68">
      <c r="A68">
        <f>== SHEAR ===</f>
        <v/>
      </c>
      <c r="B68" t="inlineStr"/>
    </row>
    <row r="69">
      <c r="A69" t="inlineStr">
        <is>
          <t>shear</t>
        </is>
      </c>
      <c r="B69" t="inlineStr">
        <is>
          <t>0.0</t>
        </is>
      </c>
    </row>
    <row r="70">
      <c r="A70" t="inlineStr"/>
      <c r="B70" t="inlineStr"/>
    </row>
    <row r="71">
      <c r="A71">
        <f>== PERSPECTIVE ===</f>
        <v/>
      </c>
      <c r="B71" t="inlineStr"/>
    </row>
    <row r="72">
      <c r="A72" t="inlineStr">
        <is>
          <t>perspective</t>
        </is>
      </c>
      <c r="B72" t="inlineStr">
        <is>
          <t>0.0</t>
        </is>
      </c>
    </row>
    <row r="73">
      <c r="A73" t="inlineStr"/>
      <c r="B73" t="inlineStr"/>
    </row>
    <row r="74">
      <c r="A74">
        <f>== FLIPUD ===</f>
        <v/>
      </c>
      <c r="B74" t="inlineStr"/>
    </row>
    <row r="75">
      <c r="A75" t="inlineStr">
        <is>
          <t>flipud</t>
        </is>
      </c>
      <c r="B75" t="inlineStr">
        <is>
          <t>0.0</t>
        </is>
      </c>
    </row>
    <row r="76">
      <c r="A76" t="inlineStr"/>
      <c r="B76" t="inlineStr"/>
    </row>
    <row r="77">
      <c r="A77">
        <f>== FLIPLR ===</f>
        <v/>
      </c>
      <c r="B77" t="inlineStr"/>
    </row>
    <row r="78">
      <c r="A78" t="inlineStr">
        <is>
          <t>fliplr</t>
        </is>
      </c>
      <c r="B78" t="inlineStr">
        <is>
          <t>0.5</t>
        </is>
      </c>
    </row>
    <row r="79">
      <c r="A79" t="inlineStr"/>
      <c r="B79" t="inlineStr"/>
    </row>
    <row r="80">
      <c r="A80">
        <f>== MOSAIC ===</f>
        <v/>
      </c>
      <c r="B80" t="inlineStr"/>
    </row>
    <row r="81">
      <c r="A81" t="inlineStr">
        <is>
          <t>mosaic</t>
        </is>
      </c>
      <c r="B81" t="inlineStr">
        <is>
          <t>0.8</t>
        </is>
      </c>
    </row>
    <row r="82">
      <c r="A82" t="inlineStr"/>
      <c r="B82" t="inlineStr"/>
    </row>
    <row r="83">
      <c r="A83">
        <f>== MIXUP ===</f>
        <v/>
      </c>
      <c r="B83" t="inlineStr"/>
    </row>
    <row r="84">
      <c r="A84" t="inlineStr">
        <is>
          <t>mixup</t>
        </is>
      </c>
      <c r="B84" t="inlineStr">
        <is>
          <t>0.05</t>
        </is>
      </c>
    </row>
    <row r="85">
      <c r="A85" t="inlineStr"/>
      <c r="B85" t="inlineStr"/>
    </row>
    <row r="86">
      <c r="A86">
        <f>== COPY_PASTE ===</f>
        <v/>
      </c>
      <c r="B86" t="inlineStr"/>
    </row>
    <row r="87">
      <c r="A87" t="inlineStr">
        <is>
          <t>copy_paste</t>
        </is>
      </c>
      <c r="B87" t="inlineStr">
        <is>
          <t>0.1</t>
        </is>
      </c>
    </row>
    <row r="88">
      <c r="A88" t="inlineStr"/>
      <c r="B88" t="inlineStr"/>
    </row>
    <row r="89">
      <c r="A89">
        <f>== PATIENCE ===</f>
        <v/>
      </c>
      <c r="B89" t="inlineStr"/>
    </row>
    <row r="90">
      <c r="A90" t="inlineStr">
        <is>
          <t>patience</t>
        </is>
      </c>
      <c r="B90" t="inlineStr">
        <is>
          <t>20</t>
        </is>
      </c>
    </row>
    <row r="91">
      <c r="A91" t="inlineStr"/>
      <c r="B91" t="inlineStr"/>
    </row>
    <row r="92">
      <c r="A92">
        <f>== SAVE_PERIOD ===</f>
        <v/>
      </c>
      <c r="B92" t="inlineStr"/>
    </row>
    <row r="93">
      <c r="A93" t="inlineStr">
        <is>
          <t>save_period</t>
        </is>
      </c>
      <c r="B93" t="inlineStr">
        <is>
          <t>3</t>
        </is>
      </c>
    </row>
    <row r="94">
      <c r="A94" t="inlineStr"/>
      <c r="B94" t="inlineStr"/>
    </row>
    <row r="95">
      <c r="A95">
        <f>== CACHE ===</f>
        <v/>
      </c>
      <c r="B95" t="inlineStr"/>
    </row>
    <row r="96">
      <c r="A96" t="inlineStr">
        <is>
          <t>cache</t>
        </is>
      </c>
      <c r="B96" t="inlineStr">
        <is>
          <t>False</t>
        </is>
      </c>
    </row>
    <row r="97">
      <c r="A97" t="inlineStr"/>
      <c r="B97" t="inlineStr"/>
    </row>
    <row r="98">
      <c r="A98">
        <f>== RECT ===</f>
        <v/>
      </c>
      <c r="B98" t="inlineStr"/>
    </row>
    <row r="99">
      <c r="A99" t="inlineStr">
        <is>
          <t>rect</t>
        </is>
      </c>
      <c r="B99" t="inlineStr">
        <is>
          <t>False</t>
        </is>
      </c>
    </row>
    <row r="100">
      <c r="A100" t="inlineStr"/>
      <c r="B100" t="inlineStr"/>
    </row>
    <row r="101">
      <c r="A101">
        <f>== COS_LR ===</f>
        <v/>
      </c>
      <c r="B101" t="inlineStr"/>
    </row>
    <row r="102">
      <c r="A102" t="inlineStr">
        <is>
          <t>cos_lr</t>
        </is>
      </c>
      <c r="B102" t="inlineStr">
        <is>
          <t>True</t>
        </is>
      </c>
    </row>
    <row r="103">
      <c r="A103" t="inlineStr"/>
      <c r="B103" t="inlineStr"/>
    </row>
    <row r="104">
      <c r="A104">
        <f>== CLOSE_MOSAIC ===</f>
        <v/>
      </c>
      <c r="B104" t="inlineStr"/>
    </row>
    <row r="105">
      <c r="A105" t="inlineStr">
        <is>
          <t>close_mosaic</t>
        </is>
      </c>
      <c r="B105" t="inlineStr">
        <is>
          <t>10</t>
        </is>
      </c>
    </row>
    <row r="106">
      <c r="A106" t="inlineStr"/>
      <c r="B106" t="inlineStr"/>
    </row>
    <row r="107">
      <c r="A107">
        <f>== MULTI_SCALE ===</f>
        <v/>
      </c>
      <c r="B107" t="inlineStr"/>
    </row>
    <row r="108">
      <c r="A108" t="inlineStr">
        <is>
          <t>multi_scale</t>
        </is>
      </c>
      <c r="B108" t="inlineStr">
        <is>
          <t>True</t>
        </is>
      </c>
    </row>
    <row r="109">
      <c r="A109" t="inlineStr"/>
      <c r="B109" t="inlineStr"/>
    </row>
    <row r="110">
      <c r="A110">
        <f>== DROPOUT ===</f>
        <v/>
      </c>
      <c r="B110" t="inlineStr"/>
    </row>
    <row r="111">
      <c r="A111" t="inlineStr">
        <is>
          <t>dropout</t>
        </is>
      </c>
      <c r="B111" t="inlineStr">
        <is>
          <t>0.1</t>
        </is>
      </c>
    </row>
    <row r="112">
      <c r="A112" t="inlineStr"/>
      <c r="B112" t="inlineStr"/>
    </row>
    <row r="113">
      <c r="A113">
        <f>== VAL ===</f>
        <v/>
      </c>
      <c r="B113" t="inlineStr"/>
    </row>
    <row r="114">
      <c r="A114" t="inlineStr">
        <is>
          <t>val</t>
        </is>
      </c>
      <c r="B114" t="inlineStr">
        <is>
          <t>True</t>
        </is>
      </c>
    </row>
    <row r="115">
      <c r="A115" t="inlineStr"/>
      <c r="B115" t="inlineStr"/>
    </row>
    <row r="116">
      <c r="A116">
        <f>== CONF ===</f>
        <v/>
      </c>
      <c r="B116" t="inlineStr"/>
    </row>
    <row r="117">
      <c r="A117" t="inlineStr">
        <is>
          <t>conf</t>
        </is>
      </c>
      <c r="B117" t="inlineStr">
        <is>
          <t>0.01</t>
        </is>
      </c>
    </row>
    <row r="118">
      <c r="A118" t="inlineStr"/>
      <c r="B118" t="inlineStr"/>
    </row>
    <row r="119">
      <c r="A119">
        <f>== IOU ===</f>
        <v/>
      </c>
      <c r="B119" t="inlineStr"/>
    </row>
    <row r="120">
      <c r="A120" t="inlineStr">
        <is>
          <t>iou</t>
        </is>
      </c>
      <c r="B120" t="inlineStr">
        <is>
          <t>0.65</t>
        </is>
      </c>
    </row>
    <row r="121">
      <c r="A121" t="inlineStr"/>
      <c r="B121" t="inlineStr"/>
    </row>
    <row r="122">
      <c r="A122">
        <f>== MAX_DET ===</f>
        <v/>
      </c>
      <c r="B122" t="inlineStr"/>
    </row>
    <row r="123">
      <c r="A123" t="inlineStr">
        <is>
          <t>max_det</t>
        </is>
      </c>
      <c r="B123" t="inlineStr">
        <is>
          <t>1000</t>
        </is>
      </c>
    </row>
    <row r="124">
      <c r="A124" t="inlineStr"/>
      <c r="B124" t="inlineStr"/>
    </row>
    <row r="125">
      <c r="A125">
        <f>== WORKERS ===</f>
        <v/>
      </c>
      <c r="B125" t="inlineStr"/>
    </row>
    <row r="126">
      <c r="A126" t="inlineStr">
        <is>
          <t>workers</t>
        </is>
      </c>
      <c r="B126" t="inlineStr">
        <is>
          <t>8</t>
        </is>
      </c>
    </row>
    <row r="127">
      <c r="A127" t="inlineStr"/>
      <c r="B127" t="inlineStr"/>
    </row>
    <row r="128">
      <c r="A128">
        <f>== PROFILE ===</f>
        <v/>
      </c>
      <c r="B128" t="inlineStr"/>
    </row>
    <row r="129">
      <c r="A129" t="inlineStr">
        <is>
          <t>profile</t>
        </is>
      </c>
      <c r="B129" t="inlineStr">
        <is>
          <t>False</t>
        </is>
      </c>
    </row>
    <row r="130">
      <c r="A130" t="inlineStr"/>
      <c r="B130" t="inlineStr"/>
    </row>
    <row r="131">
      <c r="A131">
        <f>== FRACTION ===</f>
        <v/>
      </c>
      <c r="B131" t="inlineStr"/>
    </row>
    <row r="132">
      <c r="A132" t="inlineStr">
        <is>
          <t>fraction</t>
        </is>
      </c>
      <c r="B132" t="inlineStr">
        <is>
          <t>1.0</t>
        </is>
      </c>
    </row>
    <row r="133">
      <c r="A133" t="inlineStr"/>
      <c r="B133" t="inlineStr"/>
    </row>
    <row r="134">
      <c r="A134">
        <f>== AMP ===</f>
        <v/>
      </c>
      <c r="B134" t="inlineStr"/>
    </row>
    <row r="135">
      <c r="A135" t="inlineStr">
        <is>
          <t>amp</t>
        </is>
      </c>
      <c r="B135" t="inlineStr">
        <is>
          <t>True</t>
        </is>
      </c>
    </row>
    <row r="136">
      <c r="A136" t="inlineStr"/>
      <c r="B136" t="inlineStr"/>
    </row>
    <row r="137">
      <c r="A137">
        <f>== PROJECT_NAME ===</f>
        <v/>
      </c>
      <c r="B137" t="inlineStr"/>
    </row>
    <row r="138">
      <c r="A138" t="inlineStr">
        <is>
          <t>project_name</t>
        </is>
      </c>
      <c r="B138" t="inlineStr">
        <is>
          <t>player_ball_detector</t>
        </is>
      </c>
    </row>
    <row r="139">
      <c r="A139" t="inlineStr"/>
      <c r="B139" t="inlineStr"/>
    </row>
    <row r="140">
      <c r="A140">
        <f>== EXIST_OK ===</f>
        <v/>
      </c>
      <c r="B140" t="inlineStr"/>
    </row>
    <row r="141">
      <c r="A141" t="inlineStr">
        <is>
          <t>exist_ok</t>
        </is>
      </c>
      <c r="B141" t="inlineStr">
        <is>
          <t>True</t>
        </is>
      </c>
    </row>
    <row r="142">
      <c r="A142" t="inlineStr"/>
      <c r="B142" t="inlineStr"/>
    </row>
    <row r="143">
      <c r="A143">
        <f>== SAVE ===</f>
        <v/>
      </c>
      <c r="B143" t="inlineStr"/>
    </row>
    <row r="144">
      <c r="A144" t="inlineStr">
        <is>
          <t>save</t>
        </is>
      </c>
      <c r="B144" t="inlineStr">
        <is>
          <t>True</t>
        </is>
      </c>
    </row>
    <row r="145">
      <c r="A145" t="inlineStr"/>
      <c r="B145" t="inlineStr"/>
    </row>
    <row r="146">
      <c r="A146">
        <f>== BASELINE_METRICS ===</f>
        <v/>
      </c>
      <c r="B146" t="inlineStr"/>
    </row>
    <row r="147">
      <c r="A147" t="inlineStr">
        <is>
          <t>baseline_map50</t>
        </is>
      </c>
      <c r="B147" t="inlineStr">
        <is>
          <t>0.10548606716014498</t>
        </is>
      </c>
    </row>
    <row r="148">
      <c r="A148" t="inlineStr">
        <is>
          <t>baseline_map50_95</t>
        </is>
      </c>
      <c r="B148" t="inlineStr">
        <is>
          <t>0.0</t>
        </is>
      </c>
    </row>
    <row r="149">
      <c r="A149" t="inlineStr">
        <is>
          <t>baseline_precision</t>
        </is>
      </c>
      <c r="B149" t="inlineStr">
        <is>
          <t>0.0</t>
        </is>
      </c>
    </row>
    <row r="150">
      <c r="A150" t="inlineStr">
        <is>
          <t>baseline_recall</t>
        </is>
      </c>
      <c r="B150" t="inlineStr">
        <is>
          <t>0.0</t>
        </is>
      </c>
    </row>
    <row r="151">
      <c r="A151" t="inlineStr">
        <is>
          <t>baseline_player_map50</t>
        </is>
      </c>
      <c r="B151" t="inlineStr">
        <is>
          <t>0.21097213432028997</t>
        </is>
      </c>
    </row>
    <row r="152">
      <c r="A152" t="inlineStr">
        <is>
          <t>baseline_player_precision</t>
        </is>
      </c>
      <c r="B152" t="inlineStr">
        <is>
          <t>0.98</t>
        </is>
      </c>
    </row>
    <row r="153">
      <c r="A153" t="inlineStr">
        <is>
          <t>baseline_player_recall</t>
        </is>
      </c>
      <c r="B153" t="inlineStr">
        <is>
          <t>0.92</t>
        </is>
      </c>
    </row>
    <row r="154">
      <c r="A154" t="inlineStr">
        <is>
          <t>baseline_ball_map50</t>
        </is>
      </c>
      <c r="B154" t="inlineStr">
        <is>
          <t>0.0</t>
        </is>
      </c>
    </row>
    <row r="155">
      <c r="A155" t="inlineStr">
        <is>
          <t>baseline_ball_precision</t>
        </is>
      </c>
      <c r="B155" t="inlineStr">
        <is>
          <t>0.0</t>
        </is>
      </c>
    </row>
    <row r="156">
      <c r="A156" t="inlineStr">
        <is>
          <t>baseline_ball_recall</t>
        </is>
      </c>
      <c r="B156" t="inlineStr">
        <is>
          <t>0.0</t>
        </is>
      </c>
    </row>
    <row r="157">
      <c r="A157" t="inlineStr">
        <is>
          <t>baseline_model_type</t>
        </is>
      </c>
      <c r="B157" t="inlineStr">
        <is>
          <t>Pretrained Player Detection Model</t>
        </is>
      </c>
    </row>
    <row r="158">
      <c r="A158" t="inlineStr">
        <is>
          <t>baseline_classes</t>
        </is>
      </c>
      <c r="B158" t="inlineStr">
        <is>
          <t>Adapted from 1-class (player) to 2-class (player+ball)</t>
        </is>
      </c>
    </row>
    <row r="159">
      <c r="A159" t="inlineStr">
        <is>
          <t>baseline_note</t>
        </is>
      </c>
      <c r="B159" t="inlineStr">
        <is>
          <t>Realistic transfer learning baseline - Player model performance before ball training</t>
        </is>
      </c>
    </row>
    <row r="160">
      <c r="A160" t="inlineStr"/>
      <c r="B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2025-10-31T23:25:04Z</dcterms:created>
  <dcterms:modified xsi:type="dcterms:W3CDTF">2025-10-31T23:25:04Z</dcterms:modified>
</cp:coreProperties>
</file>