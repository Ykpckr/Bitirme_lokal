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ining_Metrics" sheetId="2" state="visible" r:id="rId2"/>
    <sheet name="Configuration" sheetId="3" state="visible" r:id="rId3"/>
    <sheet name="Dataset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Training Report Summary</t>
        </is>
      </c>
      <c r="B2" t="inlineStr"/>
    </row>
    <row r="3">
      <c r="A3" t="inlineStr">
        <is>
          <t>Generated</t>
        </is>
      </c>
      <c r="B3" t="inlineStr">
        <is>
          <t>2025-12-02 13:32:33</t>
        </is>
      </c>
    </row>
    <row r="4">
      <c r="A4" t="inlineStr"/>
      <c r="B4" t="inlineStr"/>
    </row>
    <row r="5">
      <c r="A5" t="inlineStr">
        <is>
          <t>Model Information</t>
        </is>
      </c>
      <c r="B5" t="inlineStr"/>
    </row>
    <row r="6">
      <c r="A6" t="inlineStr">
        <is>
          <t>Architecture</t>
        </is>
      </c>
      <c r="B6" t="inlineStr">
        <is>
          <t>N/A</t>
        </is>
      </c>
    </row>
    <row r="7">
      <c r="A7" t="inlineStr">
        <is>
          <t>Epochs</t>
        </is>
      </c>
      <c r="B7" t="inlineStr">
        <is>
          <t>N/A</t>
        </is>
      </c>
    </row>
    <row r="8">
      <c r="A8" t="inlineStr">
        <is>
          <t>Batch Size</t>
        </is>
      </c>
      <c r="B8" t="inlineStr">
        <is>
          <t>N/A</t>
        </is>
      </c>
    </row>
    <row r="9">
      <c r="A9" t="inlineStr">
        <is>
          <t>Image Size</t>
        </is>
      </c>
      <c r="B9" t="inlineStr">
        <is>
          <t>N/A</t>
        </is>
      </c>
    </row>
    <row r="10">
      <c r="A10" t="inlineStr">
        <is>
          <t>Model Path</t>
        </is>
      </c>
      <c r="B10" t="inlineStr">
        <is>
          <t>C:\Users\Admin\Desktop\dualPhase\FoMAC\model-training\ball-detection\models\player_ball_detector\weights\best.pt</t>
        </is>
      </c>
    </row>
    <row r="11">
      <c r="A11" t="inlineStr"/>
      <c r="B11" t="inlineStr"/>
    </row>
    <row r="12">
      <c r="A12" t="inlineStr">
        <is>
          <t>Training Settings</t>
        </is>
      </c>
      <c r="B12" t="inlineStr"/>
    </row>
    <row r="13">
      <c r="A13" t="inlineStr">
        <is>
          <t>Optimizer</t>
        </is>
      </c>
      <c r="B13" t="inlineStr">
        <is>
          <t>N/A</t>
        </is>
      </c>
    </row>
    <row r="14">
      <c r="A14" t="inlineStr">
        <is>
          <t>Learning Rate</t>
        </is>
      </c>
      <c r="B14" t="inlineStr">
        <is>
          <t>N/A</t>
        </is>
      </c>
    </row>
    <row r="15">
      <c r="A15" t="inlineStr">
        <is>
          <t>Device</t>
        </is>
      </c>
      <c r="B15" t="inlineStr">
        <is>
          <t>N/A</t>
        </is>
      </c>
    </row>
    <row r="16">
      <c r="A16" t="inlineStr">
        <is>
          <t>Workers</t>
        </is>
      </c>
      <c r="B16" t="inlineStr">
        <is>
          <t>N/A</t>
        </is>
      </c>
    </row>
    <row r="17">
      <c r="A17" t="inlineStr"/>
      <c r="B17" t="inlineStr"/>
    </row>
    <row r="18">
      <c r="A18" t="inlineStr">
        <is>
          <t>Dataset Information</t>
        </is>
      </c>
      <c r="B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</row>
    <row r="2">
      <c r="A2" t="n">
        <v>1</v>
      </c>
      <c r="B2" t="n">
        <v>563.349</v>
      </c>
      <c r="C2" t="n">
        <v>1.86047</v>
      </c>
      <c r="D2" t="n">
        <v>2.23396</v>
      </c>
      <c r="E2" t="n">
        <v>2.76011</v>
      </c>
      <c r="F2" t="n">
        <v>0.48638</v>
      </c>
      <c r="G2" t="n">
        <v>0.48086</v>
      </c>
      <c r="H2" t="n">
        <v>0.40584</v>
      </c>
      <c r="I2" t="n">
        <v>0.20388</v>
      </c>
      <c r="J2" t="n">
        <v>1.67997</v>
      </c>
      <c r="K2" t="n">
        <v>2.78225</v>
      </c>
      <c r="L2" t="n">
        <v>2.84524</v>
      </c>
      <c r="M2" t="n">
        <v>0.0803045</v>
      </c>
      <c r="N2" t="n">
        <v>0.000299931</v>
      </c>
      <c r="O2" t="n">
        <v>0.000299931</v>
      </c>
    </row>
    <row r="3">
      <c r="A3" t="n">
        <v>2</v>
      </c>
      <c r="B3" t="n">
        <v>1059.4</v>
      </c>
      <c r="C3" t="n">
        <v>1.72434</v>
      </c>
      <c r="D3" t="n">
        <v>1.87005</v>
      </c>
      <c r="E3" t="n">
        <v>2.66857</v>
      </c>
      <c r="F3" t="n">
        <v>0.57353</v>
      </c>
      <c r="G3" t="n">
        <v>0.49996</v>
      </c>
      <c r="H3" t="n">
        <v>0.51883</v>
      </c>
      <c r="I3" t="n">
        <v>0.25566</v>
      </c>
      <c r="J3" t="n">
        <v>1.62713</v>
      </c>
      <c r="K3" t="n">
        <v>2.10909</v>
      </c>
      <c r="L3" t="n">
        <v>2.74083</v>
      </c>
      <c r="M3" t="n">
        <v>0.0606044</v>
      </c>
      <c r="N3" t="n">
        <v>0.000599829</v>
      </c>
      <c r="O3" t="n">
        <v>0.000599829</v>
      </c>
    </row>
    <row r="4">
      <c r="A4" t="n">
        <v>3</v>
      </c>
      <c r="B4" t="n">
        <v>1555.96</v>
      </c>
      <c r="C4" t="n">
        <v>1.67579</v>
      </c>
      <c r="D4" t="n">
        <v>1.76292</v>
      </c>
      <c r="E4" t="n">
        <v>2.65574</v>
      </c>
      <c r="F4" t="n">
        <v>0.63995</v>
      </c>
      <c r="G4" t="n">
        <v>0.53648</v>
      </c>
      <c r="H4" t="n">
        <v>0.56836</v>
      </c>
      <c r="I4" t="n">
        <v>0.28975</v>
      </c>
      <c r="J4" t="n">
        <v>1.58007</v>
      </c>
      <c r="K4" t="n">
        <v>1.6047</v>
      </c>
      <c r="L4" t="n">
        <v>2.7238</v>
      </c>
      <c r="M4" t="n">
        <v>0.0409039</v>
      </c>
      <c r="N4" t="n">
        <v>0.00089932</v>
      </c>
      <c r="O4" t="n">
        <v>0.00089932</v>
      </c>
    </row>
    <row r="5">
      <c r="A5" t="n">
        <v>4</v>
      </c>
      <c r="B5" t="n">
        <v>2043.07</v>
      </c>
      <c r="C5" t="n">
        <v>1.64394</v>
      </c>
      <c r="D5" t="n">
        <v>1.67244</v>
      </c>
      <c r="E5" t="n">
        <v>2.59584</v>
      </c>
      <c r="F5" t="n">
        <v>0.6896</v>
      </c>
      <c r="G5" t="n">
        <v>0.53653</v>
      </c>
      <c r="H5" t="n">
        <v>0.58429</v>
      </c>
      <c r="I5" t="n">
        <v>0.29642</v>
      </c>
      <c r="J5" t="n">
        <v>1.5537</v>
      </c>
      <c r="K5" t="n">
        <v>1.72042</v>
      </c>
      <c r="L5" t="n">
        <v>2.69485</v>
      </c>
      <c r="M5" t="n">
        <v>0.0212027</v>
      </c>
      <c r="N5" t="n">
        <v>0.0011981</v>
      </c>
      <c r="O5" t="n">
        <v>0.0011981</v>
      </c>
    </row>
    <row r="6">
      <c r="A6" t="n">
        <v>5</v>
      </c>
      <c r="B6" t="n">
        <v>2532.55</v>
      </c>
      <c r="C6" t="n">
        <v>1.63009</v>
      </c>
      <c r="D6" t="n">
        <v>1.64746</v>
      </c>
      <c r="E6" t="n">
        <v>2.61808</v>
      </c>
      <c r="F6" t="n">
        <v>0.67998</v>
      </c>
      <c r="G6" t="n">
        <v>0.5509500000000001</v>
      </c>
      <c r="H6" t="n">
        <v>0.59694</v>
      </c>
      <c r="I6" t="n">
        <v>0.31213</v>
      </c>
      <c r="J6" t="n">
        <v>1.47773</v>
      </c>
      <c r="K6" t="n">
        <v>2.00697</v>
      </c>
      <c r="L6" t="n">
        <v>2.63293</v>
      </c>
      <c r="M6" t="n">
        <v>0.00150047</v>
      </c>
      <c r="N6" t="n">
        <v>0.00149586</v>
      </c>
      <c r="O6" t="n">
        <v>0.00149586</v>
      </c>
    </row>
    <row r="7">
      <c r="A7" t="n">
        <v>6</v>
      </c>
      <c r="B7" t="n">
        <v>3017.72</v>
      </c>
      <c r="C7" t="n">
        <v>1.57557</v>
      </c>
      <c r="D7" t="n">
        <v>1.60844</v>
      </c>
      <c r="E7" t="n">
        <v>2.54239</v>
      </c>
      <c r="F7" t="n">
        <v>0.69362</v>
      </c>
      <c r="G7" t="n">
        <v>0.58081</v>
      </c>
      <c r="H7" t="n">
        <v>0.62251</v>
      </c>
      <c r="I7" t="n">
        <v>0.32939</v>
      </c>
      <c r="J7" t="n">
        <v>1.50579</v>
      </c>
      <c r="K7" t="n">
        <v>1.53708</v>
      </c>
      <c r="L7" t="n">
        <v>2.64463</v>
      </c>
      <c r="M7" t="n">
        <v>0.00149365</v>
      </c>
      <c r="N7" t="n">
        <v>0.00149365</v>
      </c>
      <c r="O7" t="n">
        <v>0.00149365</v>
      </c>
    </row>
    <row r="8">
      <c r="A8" t="n">
        <v>7</v>
      </c>
      <c r="B8" t="n">
        <v>3510.73</v>
      </c>
      <c r="C8" t="n">
        <v>1.56226</v>
      </c>
      <c r="D8" t="n">
        <v>1.57143</v>
      </c>
      <c r="E8" t="n">
        <v>2.53838</v>
      </c>
      <c r="F8" t="n">
        <v>0.6464</v>
      </c>
      <c r="G8" t="n">
        <v>0.58688</v>
      </c>
      <c r="H8" t="n">
        <v>0.6115699999999999</v>
      </c>
      <c r="I8" t="n">
        <v>0.32866</v>
      </c>
      <c r="J8" t="n">
        <v>1.44673</v>
      </c>
      <c r="K8" t="n">
        <v>1.79425</v>
      </c>
      <c r="L8" t="n">
        <v>2.57327</v>
      </c>
      <c r="M8" t="n">
        <v>0.00149086</v>
      </c>
      <c r="N8" t="n">
        <v>0.00149086</v>
      </c>
      <c r="O8" t="n">
        <v>0.00149086</v>
      </c>
    </row>
    <row r="9">
      <c r="A9" t="n">
        <v>8</v>
      </c>
      <c r="B9" t="n">
        <v>3996.82</v>
      </c>
      <c r="C9" t="n">
        <v>1.55312</v>
      </c>
      <c r="D9" t="n">
        <v>1.51666</v>
      </c>
      <c r="E9" t="n">
        <v>2.50515</v>
      </c>
      <c r="F9" t="n">
        <v>0.74888</v>
      </c>
      <c r="G9" t="n">
        <v>0.58796</v>
      </c>
      <c r="H9" t="n">
        <v>0.65918</v>
      </c>
      <c r="I9" t="n">
        <v>0.3503</v>
      </c>
      <c r="J9" t="n">
        <v>1.44075</v>
      </c>
      <c r="K9" t="n">
        <v>1.53435</v>
      </c>
      <c r="L9" t="n">
        <v>2.58643</v>
      </c>
      <c r="M9" t="n">
        <v>0.00148757</v>
      </c>
      <c r="N9" t="n">
        <v>0.00148757</v>
      </c>
      <c r="O9" t="n">
        <v>0.00148757</v>
      </c>
    </row>
    <row r="10">
      <c r="A10" t="n">
        <v>9</v>
      </c>
      <c r="B10" t="n">
        <v>4484.4</v>
      </c>
      <c r="C10" t="n">
        <v>1.54112</v>
      </c>
      <c r="D10" t="n">
        <v>1.50643</v>
      </c>
      <c r="E10" t="n">
        <v>2.50981</v>
      </c>
      <c r="F10" t="n">
        <v>0.73037</v>
      </c>
      <c r="G10" t="n">
        <v>0.60314</v>
      </c>
      <c r="H10" t="n">
        <v>0.66865</v>
      </c>
      <c r="I10" t="n">
        <v>0.36307</v>
      </c>
      <c r="J10" t="n">
        <v>1.44705</v>
      </c>
      <c r="K10" t="n">
        <v>1.46053</v>
      </c>
      <c r="L10" t="n">
        <v>2.59013</v>
      </c>
      <c r="M10" t="n">
        <v>0.00148377</v>
      </c>
      <c r="N10" t="n">
        <v>0.00148377</v>
      </c>
      <c r="O10" t="n">
        <v>0.00148377</v>
      </c>
    </row>
    <row r="11">
      <c r="A11" t="n">
        <v>10</v>
      </c>
      <c r="B11" t="n">
        <v>4973.94</v>
      </c>
      <c r="C11" t="n">
        <v>1.5058</v>
      </c>
      <c r="D11" t="n">
        <v>1.48058</v>
      </c>
      <c r="E11" t="n">
        <v>2.45882</v>
      </c>
      <c r="F11" t="n">
        <v>0.71554</v>
      </c>
      <c r="G11" t="n">
        <v>0.6039</v>
      </c>
      <c r="H11" t="n">
        <v>0.64875</v>
      </c>
      <c r="I11" t="n">
        <v>0.3472</v>
      </c>
      <c r="J11" t="n">
        <v>1.47701</v>
      </c>
      <c r="K11" t="n">
        <v>1.47779</v>
      </c>
      <c r="L11" t="n">
        <v>2.59369</v>
      </c>
      <c r="M11" t="n">
        <v>0.00147948</v>
      </c>
      <c r="N11" t="n">
        <v>0.00147948</v>
      </c>
      <c r="O11" t="n">
        <v>0.00147948</v>
      </c>
    </row>
    <row r="12">
      <c r="A12" t="n">
        <v>11</v>
      </c>
      <c r="B12" t="n">
        <v>5464.28</v>
      </c>
      <c r="C12" t="n">
        <v>1.50859</v>
      </c>
      <c r="D12" t="n">
        <v>1.45476</v>
      </c>
      <c r="E12" t="n">
        <v>2.47348</v>
      </c>
      <c r="F12" t="n">
        <v>0.73619</v>
      </c>
      <c r="G12" t="n">
        <v>0.62719</v>
      </c>
      <c r="H12" t="n">
        <v>0.68798</v>
      </c>
      <c r="I12" t="n">
        <v>0.37065</v>
      </c>
      <c r="J12" t="n">
        <v>1.46319</v>
      </c>
      <c r="K12" t="n">
        <v>1.4407</v>
      </c>
      <c r="L12" t="n">
        <v>2.5806</v>
      </c>
      <c r="M12" t="n">
        <v>0.0014747</v>
      </c>
      <c r="N12" t="n">
        <v>0.0014747</v>
      </c>
      <c r="O12" t="n">
        <v>0.0014747</v>
      </c>
    </row>
    <row r="13">
      <c r="A13" t="n">
        <v>12</v>
      </c>
      <c r="B13" t="n">
        <v>5952.23</v>
      </c>
      <c r="C13" t="n">
        <v>1.48721</v>
      </c>
      <c r="D13" t="n">
        <v>1.40901</v>
      </c>
      <c r="E13" t="n">
        <v>2.45257</v>
      </c>
      <c r="F13" t="n">
        <v>0.74109</v>
      </c>
      <c r="G13" t="n">
        <v>0.62636</v>
      </c>
      <c r="H13" t="n">
        <v>0.6788999999999999</v>
      </c>
      <c r="I13" t="n">
        <v>0.36674</v>
      </c>
      <c r="J13" t="n">
        <v>1.44033</v>
      </c>
      <c r="K13" t="n">
        <v>1.40024</v>
      </c>
      <c r="L13" t="n">
        <v>2.56868</v>
      </c>
      <c r="M13" t="n">
        <v>0.00146942</v>
      </c>
      <c r="N13" t="n">
        <v>0.00146942</v>
      </c>
      <c r="O13" t="n">
        <v>0.00146942</v>
      </c>
    </row>
    <row r="14">
      <c r="A14" t="n">
        <v>13</v>
      </c>
      <c r="B14" t="n">
        <v>6443.85</v>
      </c>
      <c r="C14" t="n">
        <v>1.49613</v>
      </c>
      <c r="D14" t="n">
        <v>1.40573</v>
      </c>
      <c r="E14" t="n">
        <v>2.4656</v>
      </c>
      <c r="F14" t="n">
        <v>0.697</v>
      </c>
      <c r="G14" t="n">
        <v>0.63403</v>
      </c>
      <c r="H14" t="n">
        <v>0.65879</v>
      </c>
      <c r="I14" t="n">
        <v>0.36159</v>
      </c>
      <c r="J14" t="n">
        <v>1.41602</v>
      </c>
      <c r="K14" t="n">
        <v>1.41378</v>
      </c>
      <c r="L14" t="n">
        <v>2.56624</v>
      </c>
      <c r="M14" t="n">
        <v>0.00146366</v>
      </c>
      <c r="N14" t="n">
        <v>0.00146366</v>
      </c>
      <c r="O14" t="n">
        <v>0.00146366</v>
      </c>
    </row>
    <row r="15">
      <c r="A15" t="n">
        <v>14</v>
      </c>
      <c r="B15" t="n">
        <v>6934.11</v>
      </c>
      <c r="C15" t="n">
        <v>1.4873</v>
      </c>
      <c r="D15" t="n">
        <v>1.43412</v>
      </c>
      <c r="E15" t="n">
        <v>2.46061</v>
      </c>
      <c r="F15" t="n">
        <v>0.75013</v>
      </c>
      <c r="G15" t="n">
        <v>0.61758</v>
      </c>
      <c r="H15" t="n">
        <v>0.68963</v>
      </c>
      <c r="I15" t="n">
        <v>0.37869</v>
      </c>
      <c r="J15" t="n">
        <v>1.43124</v>
      </c>
      <c r="K15" t="n">
        <v>1.41051</v>
      </c>
      <c r="L15" t="n">
        <v>2.54906</v>
      </c>
      <c r="M15" t="n">
        <v>0.00145741</v>
      </c>
      <c r="N15" t="n">
        <v>0.00145741</v>
      </c>
      <c r="O15" t="n">
        <v>0.00145741</v>
      </c>
    </row>
    <row r="16">
      <c r="A16" t="n">
        <v>15</v>
      </c>
      <c r="B16" t="n">
        <v>7419.74</v>
      </c>
      <c r="C16" t="n">
        <v>1.45857</v>
      </c>
      <c r="D16" t="n">
        <v>1.38165</v>
      </c>
      <c r="E16" t="n">
        <v>2.42054</v>
      </c>
      <c r="F16" t="n">
        <v>0.74026</v>
      </c>
      <c r="G16" t="n">
        <v>0.65556</v>
      </c>
      <c r="H16" t="n">
        <v>0.7088100000000001</v>
      </c>
      <c r="I16" t="n">
        <v>0.39131</v>
      </c>
      <c r="J16" t="n">
        <v>1.40563</v>
      </c>
      <c r="K16" t="n">
        <v>1.4001</v>
      </c>
      <c r="L16" t="n">
        <v>2.54632</v>
      </c>
      <c r="M16" t="n">
        <v>0.00145068</v>
      </c>
      <c r="N16" t="n">
        <v>0.00145068</v>
      </c>
      <c r="O16" t="n">
        <v>0.00145068</v>
      </c>
    </row>
    <row r="17">
      <c r="A17" t="n">
        <v>16</v>
      </c>
      <c r="B17" t="n">
        <v>7907.95</v>
      </c>
      <c r="C17" t="n">
        <v>1.46188</v>
      </c>
      <c r="D17" t="n">
        <v>1.34488</v>
      </c>
      <c r="E17" t="n">
        <v>2.41327</v>
      </c>
      <c r="F17" t="n">
        <v>0.76461</v>
      </c>
      <c r="G17" t="n">
        <v>0.66025</v>
      </c>
      <c r="H17" t="n">
        <v>0.71579</v>
      </c>
      <c r="I17" t="n">
        <v>0.39862</v>
      </c>
      <c r="J17" t="n">
        <v>1.39662</v>
      </c>
      <c r="K17" t="n">
        <v>1.35412</v>
      </c>
      <c r="L17" t="n">
        <v>2.52697</v>
      </c>
      <c r="M17" t="n">
        <v>0.00144348</v>
      </c>
      <c r="N17" t="n">
        <v>0.00144348</v>
      </c>
      <c r="O17" t="n">
        <v>0.00144348</v>
      </c>
    </row>
    <row r="18">
      <c r="A18" t="n">
        <v>17</v>
      </c>
      <c r="B18" t="n">
        <v>8394.17</v>
      </c>
      <c r="C18" t="n">
        <v>1.46116</v>
      </c>
      <c r="D18" t="n">
        <v>1.34378</v>
      </c>
      <c r="E18" t="n">
        <v>2.41895</v>
      </c>
      <c r="F18" t="n">
        <v>0.78325</v>
      </c>
      <c r="G18" t="n">
        <v>0.67147</v>
      </c>
      <c r="H18" t="n">
        <v>0.72893</v>
      </c>
      <c r="I18" t="n">
        <v>0.40437</v>
      </c>
      <c r="J18" t="n">
        <v>1.37516</v>
      </c>
      <c r="K18" t="n">
        <v>1.33782</v>
      </c>
      <c r="L18" t="n">
        <v>2.48884</v>
      </c>
      <c r="M18" t="n">
        <v>0.00143581</v>
      </c>
      <c r="N18" t="n">
        <v>0.00143581</v>
      </c>
      <c r="O18" t="n">
        <v>0.00143581</v>
      </c>
    </row>
    <row r="19">
      <c r="A19" t="n">
        <v>18</v>
      </c>
      <c r="B19" t="n">
        <v>8884.129999999999</v>
      </c>
      <c r="C19" t="n">
        <v>1.45164</v>
      </c>
      <c r="D19" t="n">
        <v>1.34852</v>
      </c>
      <c r="E19" t="n">
        <v>2.42349</v>
      </c>
      <c r="F19" t="n">
        <v>0.7682099999999999</v>
      </c>
      <c r="G19" t="n">
        <v>0.6562</v>
      </c>
      <c r="H19" t="n">
        <v>0.7167</v>
      </c>
      <c r="I19" t="n">
        <v>0.39638</v>
      </c>
      <c r="J19" t="n">
        <v>1.39481</v>
      </c>
      <c r="K19" t="n">
        <v>1.33121</v>
      </c>
      <c r="L19" t="n">
        <v>2.50049</v>
      </c>
      <c r="M19" t="n">
        <v>0.00142767</v>
      </c>
      <c r="N19" t="n">
        <v>0.00142767</v>
      </c>
      <c r="O19" t="n">
        <v>0.00142767</v>
      </c>
    </row>
    <row r="20">
      <c r="A20" t="n">
        <v>19</v>
      </c>
      <c r="B20" t="n">
        <v>9371.57</v>
      </c>
      <c r="C20" t="n">
        <v>1.44224</v>
      </c>
      <c r="D20" t="n">
        <v>1.31732</v>
      </c>
      <c r="E20" t="n">
        <v>2.38438</v>
      </c>
      <c r="F20" t="n">
        <v>0.7945</v>
      </c>
      <c r="G20" t="n">
        <v>0.66797</v>
      </c>
      <c r="H20" t="n">
        <v>0.73216</v>
      </c>
      <c r="I20" t="n">
        <v>0.40485</v>
      </c>
      <c r="J20" t="n">
        <v>1.35865</v>
      </c>
      <c r="K20" t="n">
        <v>1.32674</v>
      </c>
      <c r="L20" t="n">
        <v>2.47857</v>
      </c>
      <c r="M20" t="n">
        <v>0.00141907</v>
      </c>
      <c r="N20" t="n">
        <v>0.00141907</v>
      </c>
      <c r="O20" t="n">
        <v>0.00141907</v>
      </c>
    </row>
    <row r="21">
      <c r="A21" t="n">
        <v>20</v>
      </c>
      <c r="B21" t="n">
        <v>9856.559999999999</v>
      </c>
      <c r="C21" t="n">
        <v>1.42945</v>
      </c>
      <c r="D21" t="n">
        <v>1.30244</v>
      </c>
      <c r="E21" t="n">
        <v>2.37959</v>
      </c>
      <c r="F21" t="n">
        <v>0.77415</v>
      </c>
      <c r="G21" t="n">
        <v>0.66575</v>
      </c>
      <c r="H21" t="n">
        <v>0.72576</v>
      </c>
      <c r="I21" t="n">
        <v>0.40925</v>
      </c>
      <c r="J21" t="n">
        <v>1.36061</v>
      </c>
      <c r="K21" t="n">
        <v>1.31004</v>
      </c>
      <c r="L21" t="n">
        <v>2.47606</v>
      </c>
      <c r="M21" t="n">
        <v>0.00141002</v>
      </c>
      <c r="N21" t="n">
        <v>0.00141002</v>
      </c>
      <c r="O21" t="n">
        <v>0.00141002</v>
      </c>
    </row>
    <row r="22">
      <c r="A22" t="n">
        <v>21</v>
      </c>
      <c r="B22" t="n">
        <v>10352.1</v>
      </c>
      <c r="C22" t="n">
        <v>1.43264</v>
      </c>
      <c r="D22" t="n">
        <v>1.29568</v>
      </c>
      <c r="E22" t="n">
        <v>2.39616</v>
      </c>
      <c r="F22" t="n">
        <v>0.77552</v>
      </c>
      <c r="G22" t="n">
        <v>0.66392</v>
      </c>
      <c r="H22" t="n">
        <v>0.72544</v>
      </c>
      <c r="I22" t="n">
        <v>0.40884</v>
      </c>
      <c r="J22" t="n">
        <v>1.35286</v>
      </c>
      <c r="K22" t="n">
        <v>1.3033</v>
      </c>
      <c r="L22" t="n">
        <v>2.4884</v>
      </c>
      <c r="M22" t="n">
        <v>0.00140052</v>
      </c>
      <c r="N22" t="n">
        <v>0.00140052</v>
      </c>
      <c r="O22" t="n">
        <v>0.00140052</v>
      </c>
    </row>
    <row r="23">
      <c r="A23" t="n">
        <v>22</v>
      </c>
      <c r="B23" t="n">
        <v>10839.4</v>
      </c>
      <c r="C23" t="n">
        <v>1.4196</v>
      </c>
      <c r="D23" t="n">
        <v>1.28944</v>
      </c>
      <c r="E23" t="n">
        <v>2.3756</v>
      </c>
      <c r="F23" t="n">
        <v>0.76439</v>
      </c>
      <c r="G23" t="n">
        <v>0.6674</v>
      </c>
      <c r="H23" t="n">
        <v>0.72102</v>
      </c>
      <c r="I23" t="n">
        <v>0.40855</v>
      </c>
      <c r="J23" t="n">
        <v>1.38862</v>
      </c>
      <c r="K23" t="n">
        <v>1.26597</v>
      </c>
      <c r="L23" t="n">
        <v>2.49578</v>
      </c>
      <c r="M23" t="n">
        <v>0.00139059</v>
      </c>
      <c r="N23" t="n">
        <v>0.00139059</v>
      </c>
      <c r="O23" t="n">
        <v>0.00139059</v>
      </c>
    </row>
    <row r="24">
      <c r="A24" t="n">
        <v>23</v>
      </c>
      <c r="B24" t="n">
        <v>11330.1</v>
      </c>
      <c r="C24" t="n">
        <v>1.4156</v>
      </c>
      <c r="D24" t="n">
        <v>1.26815</v>
      </c>
      <c r="E24" t="n">
        <v>2.37502</v>
      </c>
      <c r="F24" t="n">
        <v>0.77285</v>
      </c>
      <c r="G24" t="n">
        <v>0.67452</v>
      </c>
      <c r="H24" t="n">
        <v>0.7235</v>
      </c>
      <c r="I24" t="n">
        <v>0.41004</v>
      </c>
      <c r="J24" t="n">
        <v>1.35486</v>
      </c>
      <c r="K24" t="n">
        <v>1.27409</v>
      </c>
      <c r="L24" t="n">
        <v>2.47115</v>
      </c>
      <c r="M24" t="n">
        <v>0.00138021</v>
      </c>
      <c r="N24" t="n">
        <v>0.00138021</v>
      </c>
      <c r="O24" t="n">
        <v>0.00138021</v>
      </c>
    </row>
    <row r="25">
      <c r="A25" t="n">
        <v>24</v>
      </c>
      <c r="B25" t="n">
        <v>11822.9</v>
      </c>
      <c r="C25" t="n">
        <v>1.42247</v>
      </c>
      <c r="D25" t="n">
        <v>1.28885</v>
      </c>
      <c r="E25" t="n">
        <v>2.40395</v>
      </c>
      <c r="F25" t="n">
        <v>0.76452</v>
      </c>
      <c r="G25" t="n">
        <v>0.68974</v>
      </c>
      <c r="H25" t="n">
        <v>0.73671</v>
      </c>
      <c r="I25" t="n">
        <v>0.41749</v>
      </c>
      <c r="J25" t="n">
        <v>1.36029</v>
      </c>
      <c r="K25" t="n">
        <v>1.33474</v>
      </c>
      <c r="L25" t="n">
        <v>2.47689</v>
      </c>
      <c r="M25" t="n">
        <v>0.00136941</v>
      </c>
      <c r="N25" t="n">
        <v>0.00136941</v>
      </c>
      <c r="O25" t="n">
        <v>0.00136941</v>
      </c>
    </row>
    <row r="26">
      <c r="A26" t="n">
        <v>25</v>
      </c>
      <c r="B26" t="n">
        <v>12312.5</v>
      </c>
      <c r="C26" t="n">
        <v>1.41796</v>
      </c>
      <c r="D26" t="n">
        <v>1.26265</v>
      </c>
      <c r="E26" t="n">
        <v>2.36724</v>
      </c>
      <c r="F26" t="n">
        <v>0.76468</v>
      </c>
      <c r="G26" t="n">
        <v>0.68948</v>
      </c>
      <c r="H26" t="n">
        <v>0.73671</v>
      </c>
      <c r="I26" t="n">
        <v>0.41923</v>
      </c>
      <c r="J26" t="n">
        <v>1.3512</v>
      </c>
      <c r="K26" t="n">
        <v>1.25967</v>
      </c>
      <c r="L26" t="n">
        <v>2.45681</v>
      </c>
      <c r="M26" t="n">
        <v>0.0013582</v>
      </c>
      <c r="N26" t="n">
        <v>0.0013582</v>
      </c>
      <c r="O26" t="n">
        <v>0.0013582</v>
      </c>
    </row>
    <row r="27">
      <c r="A27" t="n">
        <v>26</v>
      </c>
      <c r="B27" t="n">
        <v>12799.5</v>
      </c>
      <c r="C27" t="n">
        <v>1.40588</v>
      </c>
      <c r="D27" t="n">
        <v>1.2575</v>
      </c>
      <c r="E27" t="n">
        <v>2.37293</v>
      </c>
      <c r="F27" t="n">
        <v>0.78355</v>
      </c>
      <c r="G27" t="n">
        <v>0.69894</v>
      </c>
      <c r="H27" t="n">
        <v>0.75323</v>
      </c>
      <c r="I27" t="n">
        <v>0.42579</v>
      </c>
      <c r="J27" t="n">
        <v>1.31776</v>
      </c>
      <c r="K27" t="n">
        <v>1.25382</v>
      </c>
      <c r="L27" t="n">
        <v>2.44287</v>
      </c>
      <c r="M27" t="n">
        <v>0.00134656</v>
      </c>
      <c r="N27" t="n">
        <v>0.00134656</v>
      </c>
      <c r="O27" t="n">
        <v>0.00134656</v>
      </c>
    </row>
    <row r="28">
      <c r="A28" t="n">
        <v>27</v>
      </c>
      <c r="B28" t="n">
        <v>13288.8</v>
      </c>
      <c r="C28" t="n">
        <v>1.39282</v>
      </c>
      <c r="D28" t="n">
        <v>1.23431</v>
      </c>
      <c r="E28" t="n">
        <v>2.35417</v>
      </c>
      <c r="F28" t="n">
        <v>0.8045</v>
      </c>
      <c r="G28" t="n">
        <v>0.68449</v>
      </c>
      <c r="H28" t="n">
        <v>0.74893</v>
      </c>
      <c r="I28" t="n">
        <v>0.42412</v>
      </c>
      <c r="J28" t="n">
        <v>1.352</v>
      </c>
      <c r="K28" t="n">
        <v>1.26516</v>
      </c>
      <c r="L28" t="n">
        <v>2.46546</v>
      </c>
      <c r="M28" t="n">
        <v>0.00133453</v>
      </c>
      <c r="N28" t="n">
        <v>0.00133453</v>
      </c>
      <c r="O28" t="n">
        <v>0.00133453</v>
      </c>
    </row>
    <row r="29">
      <c r="A29" t="n">
        <v>28</v>
      </c>
      <c r="B29" t="n">
        <v>13774.2</v>
      </c>
      <c r="C29" t="n">
        <v>1.39646</v>
      </c>
      <c r="D29" t="n">
        <v>1.21558</v>
      </c>
      <c r="E29" t="n">
        <v>2.36835</v>
      </c>
      <c r="F29" t="n">
        <v>0.71352</v>
      </c>
      <c r="G29" t="n">
        <v>0.71058</v>
      </c>
      <c r="H29" t="n">
        <v>0.69816</v>
      </c>
      <c r="I29" t="n">
        <v>0.40036</v>
      </c>
      <c r="J29" t="n">
        <v>1.34829</v>
      </c>
      <c r="K29" t="n">
        <v>1.28208</v>
      </c>
      <c r="L29" t="n">
        <v>2.4531</v>
      </c>
      <c r="M29" t="n">
        <v>0.0013221</v>
      </c>
      <c r="N29" t="n">
        <v>0.0013221</v>
      </c>
      <c r="O29" t="n">
        <v>0.0013221</v>
      </c>
    </row>
    <row r="30">
      <c r="A30" t="n">
        <v>29</v>
      </c>
      <c r="B30" t="n">
        <v>14259.2</v>
      </c>
      <c r="C30" t="n">
        <v>1.37689</v>
      </c>
      <c r="D30" t="n">
        <v>1.19638</v>
      </c>
      <c r="E30" t="n">
        <v>2.32859</v>
      </c>
      <c r="F30" t="n">
        <v>0.77935</v>
      </c>
      <c r="G30" t="n">
        <v>0.7043700000000001</v>
      </c>
      <c r="H30" t="n">
        <v>0.75259</v>
      </c>
      <c r="I30" t="n">
        <v>0.42911</v>
      </c>
      <c r="J30" t="n">
        <v>1.32415</v>
      </c>
      <c r="K30" t="n">
        <v>1.20865</v>
      </c>
      <c r="L30" t="n">
        <v>2.42853</v>
      </c>
      <c r="M30" t="n">
        <v>0.00130929</v>
      </c>
      <c r="N30" t="n">
        <v>0.00130929</v>
      </c>
      <c r="O30" t="n">
        <v>0.00130929</v>
      </c>
    </row>
    <row r="31">
      <c r="A31" t="n">
        <v>30</v>
      </c>
      <c r="B31" t="n">
        <v>14747.7</v>
      </c>
      <c r="C31" t="n">
        <v>1.38008</v>
      </c>
      <c r="D31" t="n">
        <v>1.1894</v>
      </c>
      <c r="E31" t="n">
        <v>2.34397</v>
      </c>
      <c r="F31" t="n">
        <v>0.8023</v>
      </c>
      <c r="G31" t="n">
        <v>0.69912</v>
      </c>
      <c r="H31" t="n">
        <v>0.7461</v>
      </c>
      <c r="I31" t="n">
        <v>0.42769</v>
      </c>
      <c r="J31" t="n">
        <v>1.33047</v>
      </c>
      <c r="K31" t="n">
        <v>1.2957</v>
      </c>
      <c r="L31" t="n">
        <v>2.44102</v>
      </c>
      <c r="M31" t="n">
        <v>0.00129609</v>
      </c>
      <c r="N31" t="n">
        <v>0.00129609</v>
      </c>
      <c r="O31" t="n">
        <v>0.00129609</v>
      </c>
    </row>
    <row r="32">
      <c r="A32" t="n">
        <v>31</v>
      </c>
      <c r="B32" t="n">
        <v>15235.9</v>
      </c>
      <c r="C32" t="n">
        <v>1.37923</v>
      </c>
      <c r="D32" t="n">
        <v>1.18329</v>
      </c>
      <c r="E32" t="n">
        <v>2.3428</v>
      </c>
      <c r="F32" t="n">
        <v>0.79621</v>
      </c>
      <c r="G32" t="n">
        <v>0.70335</v>
      </c>
      <c r="H32" t="n">
        <v>0.75618</v>
      </c>
      <c r="I32" t="n">
        <v>0.43065</v>
      </c>
      <c r="J32" t="n">
        <v>1.33461</v>
      </c>
      <c r="K32" t="n">
        <v>1.25595</v>
      </c>
      <c r="L32" t="n">
        <v>2.45347</v>
      </c>
      <c r="M32" t="n">
        <v>0.00128253</v>
      </c>
      <c r="N32" t="n">
        <v>0.00128253</v>
      </c>
      <c r="O32" t="n">
        <v>0.00128253</v>
      </c>
    </row>
    <row r="33">
      <c r="A33" t="n">
        <v>32</v>
      </c>
      <c r="B33" t="n">
        <v>15723</v>
      </c>
      <c r="C33" t="n">
        <v>1.37639</v>
      </c>
      <c r="D33" t="n">
        <v>1.18018</v>
      </c>
      <c r="E33" t="n">
        <v>2.33503</v>
      </c>
      <c r="F33" t="n">
        <v>0.7749200000000001</v>
      </c>
      <c r="G33" t="n">
        <v>0.70917</v>
      </c>
      <c r="H33" t="n">
        <v>0.75236</v>
      </c>
      <c r="I33" t="n">
        <v>0.43484</v>
      </c>
      <c r="J33" t="n">
        <v>1.31791</v>
      </c>
      <c r="K33" t="n">
        <v>1.15703</v>
      </c>
      <c r="L33" t="n">
        <v>2.43366</v>
      </c>
      <c r="M33" t="n">
        <v>0.0012686</v>
      </c>
      <c r="N33" t="n">
        <v>0.0012686</v>
      </c>
      <c r="O33" t="n">
        <v>0.0012686</v>
      </c>
    </row>
    <row r="34">
      <c r="A34" t="n">
        <v>33</v>
      </c>
      <c r="B34" t="n">
        <v>16213.2</v>
      </c>
      <c r="C34" t="n">
        <v>1.36456</v>
      </c>
      <c r="D34" t="n">
        <v>1.17235</v>
      </c>
      <c r="E34" t="n">
        <v>2.31759</v>
      </c>
      <c r="F34" t="n">
        <v>0.78891</v>
      </c>
      <c r="G34" t="n">
        <v>0.70995</v>
      </c>
      <c r="H34" t="n">
        <v>0.75972</v>
      </c>
      <c r="I34" t="n">
        <v>0.43789</v>
      </c>
      <c r="J34" t="n">
        <v>1.33907</v>
      </c>
      <c r="K34" t="n">
        <v>1.16244</v>
      </c>
      <c r="L34" t="n">
        <v>2.44171</v>
      </c>
      <c r="M34" t="n">
        <v>0.00125433</v>
      </c>
      <c r="N34" t="n">
        <v>0.00125433</v>
      </c>
      <c r="O34" t="n">
        <v>0.00125433</v>
      </c>
    </row>
    <row r="35">
      <c r="A35" t="n">
        <v>34</v>
      </c>
      <c r="B35" t="n">
        <v>16702.1</v>
      </c>
      <c r="C35" t="n">
        <v>1.37049</v>
      </c>
      <c r="D35" t="n">
        <v>1.17563</v>
      </c>
      <c r="E35" t="n">
        <v>2.32282</v>
      </c>
      <c r="F35" t="n">
        <v>0.78966</v>
      </c>
      <c r="G35" t="n">
        <v>0.72779</v>
      </c>
      <c r="H35" t="n">
        <v>0.76505</v>
      </c>
      <c r="I35" t="n">
        <v>0.44155</v>
      </c>
      <c r="J35" t="n">
        <v>1.32917</v>
      </c>
      <c r="K35" t="n">
        <v>1.14386</v>
      </c>
      <c r="L35" t="n">
        <v>2.4395</v>
      </c>
      <c r="M35" t="n">
        <v>0.00123972</v>
      </c>
      <c r="N35" t="n">
        <v>0.00123972</v>
      </c>
      <c r="O35" t="n">
        <v>0.00123972</v>
      </c>
    </row>
    <row r="36">
      <c r="A36" t="n">
        <v>35</v>
      </c>
      <c r="B36" t="n">
        <v>17196.5</v>
      </c>
      <c r="C36" t="n">
        <v>1.35874</v>
      </c>
      <c r="D36" t="n">
        <v>1.16661</v>
      </c>
      <c r="E36" t="n">
        <v>2.32694</v>
      </c>
      <c r="F36" t="n">
        <v>0.79826</v>
      </c>
      <c r="G36" t="n">
        <v>0.72323</v>
      </c>
      <c r="H36" t="n">
        <v>0.76879</v>
      </c>
      <c r="I36" t="n">
        <v>0.44613</v>
      </c>
      <c r="J36" t="n">
        <v>1.31185</v>
      </c>
      <c r="K36" t="n">
        <v>1.20174</v>
      </c>
      <c r="L36" t="n">
        <v>2.41522</v>
      </c>
      <c r="M36" t="n">
        <v>0.00122477</v>
      </c>
      <c r="N36" t="n">
        <v>0.00122477</v>
      </c>
      <c r="O36" t="n">
        <v>0.00122477</v>
      </c>
    </row>
    <row r="37">
      <c r="A37" t="n">
        <v>36</v>
      </c>
      <c r="B37" t="n">
        <v>17686.1</v>
      </c>
      <c r="C37" t="n">
        <v>1.33581</v>
      </c>
      <c r="D37" t="n">
        <v>1.14027</v>
      </c>
      <c r="E37" t="n">
        <v>2.28348</v>
      </c>
      <c r="F37" t="n">
        <v>0.79138</v>
      </c>
      <c r="G37" t="n">
        <v>0.73356</v>
      </c>
      <c r="H37" t="n">
        <v>0.77436</v>
      </c>
      <c r="I37" t="n">
        <v>0.44894</v>
      </c>
      <c r="J37" t="n">
        <v>1.32281</v>
      </c>
      <c r="K37" t="n">
        <v>1.11521</v>
      </c>
      <c r="L37" t="n">
        <v>2.42705</v>
      </c>
      <c r="M37" t="n">
        <v>0.00120951</v>
      </c>
      <c r="N37" t="n">
        <v>0.00120951</v>
      </c>
      <c r="O37" t="n">
        <v>0.00120951</v>
      </c>
    </row>
    <row r="38">
      <c r="A38" t="n">
        <v>37</v>
      </c>
      <c r="B38" t="n">
        <v>18175.7</v>
      </c>
      <c r="C38" t="n">
        <v>1.36182</v>
      </c>
      <c r="D38" t="n">
        <v>1.16108</v>
      </c>
      <c r="E38" t="n">
        <v>2.32812</v>
      </c>
      <c r="F38" t="n">
        <v>0.80949</v>
      </c>
      <c r="G38" t="n">
        <v>0.7261</v>
      </c>
      <c r="H38" t="n">
        <v>0.77546</v>
      </c>
      <c r="I38" t="n">
        <v>0.44924</v>
      </c>
      <c r="J38" t="n">
        <v>1.33316</v>
      </c>
      <c r="K38" t="n">
        <v>1.28642</v>
      </c>
      <c r="L38" t="n">
        <v>2.44255</v>
      </c>
      <c r="M38" t="n">
        <v>0.00119393</v>
      </c>
      <c r="N38" t="n">
        <v>0.00119393</v>
      </c>
      <c r="O38" t="n">
        <v>0.00119393</v>
      </c>
    </row>
    <row r="39">
      <c r="A39" t="n">
        <v>38</v>
      </c>
      <c r="B39" t="n">
        <v>18663.9</v>
      </c>
      <c r="C39" t="n">
        <v>1.34551</v>
      </c>
      <c r="D39" t="n">
        <v>1.14262</v>
      </c>
      <c r="E39" t="n">
        <v>2.28938</v>
      </c>
      <c r="F39" t="n">
        <v>0.82057</v>
      </c>
      <c r="G39" t="n">
        <v>0.71623</v>
      </c>
      <c r="H39" t="n">
        <v>0.77695</v>
      </c>
      <c r="I39" t="n">
        <v>0.45081</v>
      </c>
      <c r="J39" t="n">
        <v>1.31292</v>
      </c>
      <c r="K39" t="n">
        <v>1.127</v>
      </c>
      <c r="L39" t="n">
        <v>2.41867</v>
      </c>
      <c r="M39" t="n">
        <v>0.00117806</v>
      </c>
      <c r="N39" t="n">
        <v>0.00117806</v>
      </c>
      <c r="O39" t="n">
        <v>0.00117806</v>
      </c>
    </row>
    <row r="40">
      <c r="A40" t="n">
        <v>39</v>
      </c>
      <c r="B40" t="n">
        <v>19147.2</v>
      </c>
      <c r="C40" t="n">
        <v>1.3369</v>
      </c>
      <c r="D40" t="n">
        <v>1.13641</v>
      </c>
      <c r="E40" t="n">
        <v>2.28661</v>
      </c>
      <c r="F40" t="n">
        <v>0.80037</v>
      </c>
      <c r="G40" t="n">
        <v>0.74025</v>
      </c>
      <c r="H40" t="n">
        <v>0.77455</v>
      </c>
      <c r="I40" t="n">
        <v>0.4464</v>
      </c>
      <c r="J40" t="n">
        <v>1.30533</v>
      </c>
      <c r="K40" t="n">
        <v>1.11161</v>
      </c>
      <c r="L40" t="n">
        <v>2.4101</v>
      </c>
      <c r="M40" t="n">
        <v>0.00116189</v>
      </c>
      <c r="N40" t="n">
        <v>0.00116189</v>
      </c>
      <c r="O40" t="n">
        <v>0.00116189</v>
      </c>
    </row>
    <row r="41">
      <c r="A41" t="n">
        <v>40</v>
      </c>
      <c r="B41" t="n">
        <v>19641</v>
      </c>
      <c r="C41" t="n">
        <v>1.34017</v>
      </c>
      <c r="D41" t="n">
        <v>1.13571</v>
      </c>
      <c r="E41" t="n">
        <v>2.29702</v>
      </c>
      <c r="F41" t="n">
        <v>0.81854</v>
      </c>
      <c r="G41" t="n">
        <v>0.72306</v>
      </c>
      <c r="H41" t="n">
        <v>0.77735</v>
      </c>
      <c r="I41" t="n">
        <v>0.45349</v>
      </c>
      <c r="J41" t="n">
        <v>1.30475</v>
      </c>
      <c r="K41" t="n">
        <v>1.10013</v>
      </c>
      <c r="L41" t="n">
        <v>2.40341</v>
      </c>
      <c r="M41" t="n">
        <v>0.00114546</v>
      </c>
      <c r="N41" t="n">
        <v>0.00114546</v>
      </c>
      <c r="O41" t="n">
        <v>0.00114546</v>
      </c>
    </row>
    <row r="42">
      <c r="A42" t="n">
        <v>41</v>
      </c>
      <c r="B42" t="n">
        <v>20130.8</v>
      </c>
      <c r="C42" t="n">
        <v>1.32985</v>
      </c>
      <c r="D42" t="n">
        <v>1.13257</v>
      </c>
      <c r="E42" t="n">
        <v>2.2908</v>
      </c>
      <c r="F42" t="n">
        <v>0.80937</v>
      </c>
      <c r="G42" t="n">
        <v>0.73499</v>
      </c>
      <c r="H42" t="n">
        <v>0.78596</v>
      </c>
      <c r="I42" t="n">
        <v>0.46016</v>
      </c>
      <c r="J42" t="n">
        <v>1.30539</v>
      </c>
      <c r="K42" t="n">
        <v>1.11705</v>
      </c>
      <c r="L42" t="n">
        <v>2.40282</v>
      </c>
      <c r="M42" t="n">
        <v>0.00112875</v>
      </c>
      <c r="N42" t="n">
        <v>0.00112875</v>
      </c>
      <c r="O42" t="n">
        <v>0.00112875</v>
      </c>
    </row>
    <row r="43">
      <c r="A43" t="n">
        <v>42</v>
      </c>
      <c r="B43" t="n">
        <v>20620.2</v>
      </c>
      <c r="C43" t="n">
        <v>1.32719</v>
      </c>
      <c r="D43" t="n">
        <v>1.123</v>
      </c>
      <c r="E43" t="n">
        <v>2.28176</v>
      </c>
      <c r="F43" t="n">
        <v>0.80288</v>
      </c>
      <c r="G43" t="n">
        <v>0.7368400000000001</v>
      </c>
      <c r="H43" t="n">
        <v>0.77993</v>
      </c>
      <c r="I43" t="n">
        <v>0.45406</v>
      </c>
      <c r="J43" t="n">
        <v>1.30046</v>
      </c>
      <c r="K43" t="n">
        <v>1.16537</v>
      </c>
      <c r="L43" t="n">
        <v>2.40043</v>
      </c>
      <c r="M43" t="n">
        <v>0.00111179</v>
      </c>
      <c r="N43" t="n">
        <v>0.00111179</v>
      </c>
      <c r="O43" t="n">
        <v>0.00111179</v>
      </c>
    </row>
    <row r="44">
      <c r="A44" t="n">
        <v>43</v>
      </c>
      <c r="B44" t="n">
        <v>21108.1</v>
      </c>
      <c r="C44" t="n">
        <v>1.32398</v>
      </c>
      <c r="D44" t="n">
        <v>1.09991</v>
      </c>
      <c r="E44" t="n">
        <v>2.28614</v>
      </c>
      <c r="F44" t="n">
        <v>0.8134</v>
      </c>
      <c r="G44" t="n">
        <v>0.7298</v>
      </c>
      <c r="H44" t="n">
        <v>0.78343</v>
      </c>
      <c r="I44" t="n">
        <v>0.45676</v>
      </c>
      <c r="J44" t="n">
        <v>1.30298</v>
      </c>
      <c r="K44" t="n">
        <v>1.15126</v>
      </c>
      <c r="L44" t="n">
        <v>2.4045</v>
      </c>
      <c r="M44" t="n">
        <v>0.00109459</v>
      </c>
      <c r="N44" t="n">
        <v>0.00109459</v>
      </c>
      <c r="O44" t="n">
        <v>0.00109459</v>
      </c>
    </row>
    <row r="45">
      <c r="A45" t="n">
        <v>44</v>
      </c>
      <c r="B45" t="n">
        <v>21598.8</v>
      </c>
      <c r="C45" t="n">
        <v>1.32961</v>
      </c>
      <c r="D45" t="n">
        <v>1.10583</v>
      </c>
      <c r="E45" t="n">
        <v>2.28195</v>
      </c>
      <c r="F45" t="n">
        <v>0.80227</v>
      </c>
      <c r="G45" t="n">
        <v>0.73929</v>
      </c>
      <c r="H45" t="n">
        <v>0.77664</v>
      </c>
      <c r="I45" t="n">
        <v>0.45545</v>
      </c>
      <c r="J45" t="n">
        <v>1.2969</v>
      </c>
      <c r="K45" t="n">
        <v>1.15955</v>
      </c>
      <c r="L45" t="n">
        <v>2.3964</v>
      </c>
      <c r="M45" t="n">
        <v>0.00107715</v>
      </c>
      <c r="N45" t="n">
        <v>0.00107715</v>
      </c>
      <c r="O45" t="n">
        <v>0.00107715</v>
      </c>
    </row>
    <row r="46">
      <c r="A46" t="n">
        <v>45</v>
      </c>
      <c r="B46" t="n">
        <v>22090.6</v>
      </c>
      <c r="C46" t="n">
        <v>1.31833</v>
      </c>
      <c r="D46" t="n">
        <v>1.09133</v>
      </c>
      <c r="E46" t="n">
        <v>2.26605</v>
      </c>
      <c r="F46" t="n">
        <v>0.80497</v>
      </c>
      <c r="G46" t="n">
        <v>0.74393</v>
      </c>
      <c r="H46" t="n">
        <v>0.79066</v>
      </c>
      <c r="I46" t="n">
        <v>0.46082</v>
      </c>
      <c r="J46" t="n">
        <v>1.29854</v>
      </c>
      <c r="K46" t="n">
        <v>1.11598</v>
      </c>
      <c r="L46" t="n">
        <v>2.40165</v>
      </c>
      <c r="M46" t="n">
        <v>0.0010595</v>
      </c>
      <c r="N46" t="n">
        <v>0.0010595</v>
      </c>
      <c r="O46" t="n">
        <v>0.0010595</v>
      </c>
    </row>
    <row r="47">
      <c r="A47" t="n">
        <v>46</v>
      </c>
      <c r="B47" t="n">
        <v>22574.9</v>
      </c>
      <c r="C47" t="n">
        <v>1.30778</v>
      </c>
      <c r="D47" t="n">
        <v>1.07519</v>
      </c>
      <c r="E47" t="n">
        <v>2.25669</v>
      </c>
      <c r="F47" t="n">
        <v>0.81621</v>
      </c>
      <c r="G47" t="n">
        <v>0.7392300000000001</v>
      </c>
      <c r="H47" t="n">
        <v>0.78764</v>
      </c>
      <c r="I47" t="n">
        <v>0.46111</v>
      </c>
      <c r="J47" t="n">
        <v>1.2922</v>
      </c>
      <c r="K47" t="n">
        <v>1.10616</v>
      </c>
      <c r="L47" t="n">
        <v>2.38393</v>
      </c>
      <c r="M47" t="n">
        <v>0.00104164</v>
      </c>
      <c r="N47" t="n">
        <v>0.00104164</v>
      </c>
      <c r="O47" t="n">
        <v>0.00104164</v>
      </c>
    </row>
    <row r="48">
      <c r="A48" t="n">
        <v>47</v>
      </c>
      <c r="B48" t="n">
        <v>23068.3</v>
      </c>
      <c r="C48" t="n">
        <v>1.3162</v>
      </c>
      <c r="D48" t="n">
        <v>1.06913</v>
      </c>
      <c r="E48" t="n">
        <v>2.26692</v>
      </c>
      <c r="F48" t="n">
        <v>0.81435</v>
      </c>
      <c r="G48" t="n">
        <v>0.73666</v>
      </c>
      <c r="H48" t="n">
        <v>0.78227</v>
      </c>
      <c r="I48" t="n">
        <v>0.45809</v>
      </c>
      <c r="J48" t="n">
        <v>1.29192</v>
      </c>
      <c r="K48" t="n">
        <v>1.09766</v>
      </c>
      <c r="L48" t="n">
        <v>2.37898</v>
      </c>
      <c r="M48" t="n">
        <v>0.00102359</v>
      </c>
      <c r="N48" t="n">
        <v>0.00102359</v>
      </c>
      <c r="O48" t="n">
        <v>0.00102359</v>
      </c>
    </row>
    <row r="49">
      <c r="A49" t="n">
        <v>48</v>
      </c>
      <c r="B49" t="n">
        <v>23553.3</v>
      </c>
      <c r="C49" t="n">
        <v>1.30669</v>
      </c>
      <c r="D49" t="n">
        <v>1.06038</v>
      </c>
      <c r="E49" t="n">
        <v>2.25755</v>
      </c>
      <c r="F49" t="n">
        <v>0.81141</v>
      </c>
      <c r="G49" t="n">
        <v>0.7432800000000001</v>
      </c>
      <c r="H49" t="n">
        <v>0.78464</v>
      </c>
      <c r="I49" t="n">
        <v>0.46063</v>
      </c>
      <c r="J49" t="n">
        <v>1.28092</v>
      </c>
      <c r="K49" t="n">
        <v>1.09551</v>
      </c>
      <c r="L49" t="n">
        <v>2.3772</v>
      </c>
      <c r="M49" t="n">
        <v>0.00100535</v>
      </c>
      <c r="N49" t="n">
        <v>0.00100535</v>
      </c>
      <c r="O49" t="n">
        <v>0.00100535</v>
      </c>
    </row>
    <row r="50">
      <c r="A50" t="n">
        <v>49</v>
      </c>
      <c r="B50" t="n">
        <v>24044.5</v>
      </c>
      <c r="C50" t="n">
        <v>1.30508</v>
      </c>
      <c r="D50" t="n">
        <v>1.05251</v>
      </c>
      <c r="E50" t="n">
        <v>2.2415</v>
      </c>
      <c r="F50" t="n">
        <v>0.82319</v>
      </c>
      <c r="G50" t="n">
        <v>0.7422</v>
      </c>
      <c r="H50" t="n">
        <v>0.79071</v>
      </c>
      <c r="I50" t="n">
        <v>0.46639</v>
      </c>
      <c r="J50" t="n">
        <v>1.28534</v>
      </c>
      <c r="K50" t="n">
        <v>1.09817</v>
      </c>
      <c r="L50" t="n">
        <v>2.373</v>
      </c>
      <c r="M50" t="n">
        <v>0.0009869449999999999</v>
      </c>
      <c r="N50" t="n">
        <v>0.0009869449999999999</v>
      </c>
      <c r="O50" t="n">
        <v>0.0009869449999999999</v>
      </c>
    </row>
    <row r="51">
      <c r="A51" t="n">
        <v>50</v>
      </c>
      <c r="B51" t="n">
        <v>24530.9</v>
      </c>
      <c r="C51" t="n">
        <v>1.30521</v>
      </c>
      <c r="D51" t="n">
        <v>1.05254</v>
      </c>
      <c r="E51" t="n">
        <v>2.24774</v>
      </c>
      <c r="F51" t="n">
        <v>0.82541</v>
      </c>
      <c r="G51" t="n">
        <v>0.73388</v>
      </c>
      <c r="H51" t="n">
        <v>0.78705</v>
      </c>
      <c r="I51" t="n">
        <v>0.46337</v>
      </c>
      <c r="J51" t="n">
        <v>1.28728</v>
      </c>
      <c r="K51" t="n">
        <v>1.09891</v>
      </c>
      <c r="L51" t="n">
        <v>2.37292</v>
      </c>
      <c r="M51" t="n">
        <v>0.000968381</v>
      </c>
      <c r="N51" t="n">
        <v>0.000968381</v>
      </c>
      <c r="O51" t="n">
        <v>0.000968381</v>
      </c>
    </row>
    <row r="52">
      <c r="A52" t="n">
        <v>51</v>
      </c>
      <c r="B52" t="n">
        <v>25020.1</v>
      </c>
      <c r="C52" t="n">
        <v>1.29237</v>
      </c>
      <c r="D52" t="n">
        <v>1.07261</v>
      </c>
      <c r="E52" t="n">
        <v>2.22929</v>
      </c>
      <c r="F52" t="n">
        <v>0.81002</v>
      </c>
      <c r="G52" t="n">
        <v>0.73852</v>
      </c>
      <c r="H52" t="n">
        <v>0.78551</v>
      </c>
      <c r="I52" t="n">
        <v>0.4632</v>
      </c>
      <c r="J52" t="n">
        <v>1.3001</v>
      </c>
      <c r="K52" t="n">
        <v>1.09667</v>
      </c>
      <c r="L52" t="n">
        <v>2.38559</v>
      </c>
      <c r="M52" t="n">
        <v>0.0009496730000000001</v>
      </c>
      <c r="N52" t="n">
        <v>0.0009496730000000001</v>
      </c>
      <c r="O52" t="n">
        <v>0.0009496730000000001</v>
      </c>
    </row>
    <row r="53">
      <c r="A53" t="n">
        <v>52</v>
      </c>
      <c r="B53" t="n">
        <v>25506.2</v>
      </c>
      <c r="C53" t="n">
        <v>1.29361</v>
      </c>
      <c r="D53" t="n">
        <v>1.05846</v>
      </c>
      <c r="E53" t="n">
        <v>2.24185</v>
      </c>
      <c r="F53" t="n">
        <v>0.82577</v>
      </c>
      <c r="G53" t="n">
        <v>0.73982</v>
      </c>
      <c r="H53" t="n">
        <v>0.79414</v>
      </c>
      <c r="I53" t="n">
        <v>0.46867</v>
      </c>
      <c r="J53" t="n">
        <v>1.29349</v>
      </c>
      <c r="K53" t="n">
        <v>1.0999</v>
      </c>
      <c r="L53" t="n">
        <v>2.37504</v>
      </c>
      <c r="M53" t="n">
        <v>0.0009308330000000001</v>
      </c>
      <c r="N53" t="n">
        <v>0.0009308330000000001</v>
      </c>
      <c r="O53" t="n">
        <v>0.0009308330000000001</v>
      </c>
    </row>
    <row r="54">
      <c r="A54" t="n">
        <v>53</v>
      </c>
      <c r="B54" t="n">
        <v>25996.2</v>
      </c>
      <c r="C54" t="n">
        <v>1.27774</v>
      </c>
      <c r="D54" t="n">
        <v>1.02159</v>
      </c>
      <c r="E54" t="n">
        <v>2.21332</v>
      </c>
      <c r="F54" t="n">
        <v>0.82686</v>
      </c>
      <c r="G54" t="n">
        <v>0.74043</v>
      </c>
      <c r="H54" t="n">
        <v>0.78859</v>
      </c>
      <c r="I54" t="n">
        <v>0.46619</v>
      </c>
      <c r="J54" t="n">
        <v>1.28462</v>
      </c>
      <c r="K54" t="n">
        <v>1.08818</v>
      </c>
      <c r="L54" t="n">
        <v>2.36426</v>
      </c>
      <c r="M54" t="n">
        <v>0.000911874</v>
      </c>
      <c r="N54" t="n">
        <v>0.000911874</v>
      </c>
      <c r="O54" t="n">
        <v>0.000911874</v>
      </c>
    </row>
    <row r="55">
      <c r="A55" t="n">
        <v>54</v>
      </c>
      <c r="B55" t="n">
        <v>26482.5</v>
      </c>
      <c r="C55" t="n">
        <v>1.28966</v>
      </c>
      <c r="D55" t="n">
        <v>1.02983</v>
      </c>
      <c r="E55" t="n">
        <v>2.24076</v>
      </c>
      <c r="F55" t="n">
        <v>0.81208</v>
      </c>
      <c r="G55" t="n">
        <v>0.74931</v>
      </c>
      <c r="H55" t="n">
        <v>0.79081</v>
      </c>
      <c r="I55" t="n">
        <v>0.46876</v>
      </c>
      <c r="J55" t="n">
        <v>1.27569</v>
      </c>
      <c r="K55" t="n">
        <v>1.08032</v>
      </c>
      <c r="L55" t="n">
        <v>2.36724</v>
      </c>
      <c r="M55" t="n">
        <v>0.00089281</v>
      </c>
      <c r="N55" t="n">
        <v>0.00089281</v>
      </c>
      <c r="O55" t="n">
        <v>0.00089281</v>
      </c>
    </row>
    <row r="56">
      <c r="A56" t="n">
        <v>55</v>
      </c>
      <c r="B56" t="n">
        <v>26969.6</v>
      </c>
      <c r="C56" t="n">
        <v>1.28431</v>
      </c>
      <c r="D56" t="n">
        <v>1.05005</v>
      </c>
      <c r="E56" t="n">
        <v>2.23429</v>
      </c>
      <c r="F56" t="n">
        <v>0.82163</v>
      </c>
      <c r="G56" t="n">
        <v>0.7446199999999999</v>
      </c>
      <c r="H56" t="n">
        <v>0.79112</v>
      </c>
      <c r="I56" t="n">
        <v>0.47015</v>
      </c>
      <c r="J56" t="n">
        <v>1.27209</v>
      </c>
      <c r="K56" t="n">
        <v>1.04537</v>
      </c>
      <c r="L56" t="n">
        <v>2.35526</v>
      </c>
      <c r="M56" t="n">
        <v>0.000873653</v>
      </c>
      <c r="N56" t="n">
        <v>0.000873653</v>
      </c>
      <c r="O56" t="n">
        <v>0.000873653</v>
      </c>
    </row>
    <row r="57">
      <c r="A57" t="n">
        <v>56</v>
      </c>
      <c r="B57" t="n">
        <v>27461.5</v>
      </c>
      <c r="C57" t="n">
        <v>1.27567</v>
      </c>
      <c r="D57" t="n">
        <v>1.03428</v>
      </c>
      <c r="E57" t="n">
        <v>2.22194</v>
      </c>
      <c r="F57" t="n">
        <v>0.81731</v>
      </c>
      <c r="G57" t="n">
        <v>0.75027</v>
      </c>
      <c r="H57" t="n">
        <v>0.7932</v>
      </c>
      <c r="I57" t="n">
        <v>0.47135</v>
      </c>
      <c r="J57" t="n">
        <v>1.2723</v>
      </c>
      <c r="K57" t="n">
        <v>1.04572</v>
      </c>
      <c r="L57" t="n">
        <v>2.35201</v>
      </c>
      <c r="M57" t="n">
        <v>0.000854416</v>
      </c>
      <c r="N57" t="n">
        <v>0.000854416</v>
      </c>
      <c r="O57" t="n">
        <v>0.000854416</v>
      </c>
    </row>
    <row r="58">
      <c r="A58" t="n">
        <v>57</v>
      </c>
      <c r="B58" t="n">
        <v>27950.9</v>
      </c>
      <c r="C58" t="n">
        <v>1.26944</v>
      </c>
      <c r="D58" t="n">
        <v>1.02897</v>
      </c>
      <c r="E58" t="n">
        <v>2.19268</v>
      </c>
      <c r="F58" t="n">
        <v>0.81542</v>
      </c>
      <c r="G58" t="n">
        <v>0.75554</v>
      </c>
      <c r="H58" t="n">
        <v>0.78715</v>
      </c>
      <c r="I58" t="n">
        <v>0.46504</v>
      </c>
      <c r="J58" t="n">
        <v>1.2804</v>
      </c>
      <c r="K58" t="n">
        <v>1.04067</v>
      </c>
      <c r="L58" t="n">
        <v>2.35959</v>
      </c>
      <c r="M58" t="n">
        <v>0.0008351120000000001</v>
      </c>
      <c r="N58" t="n">
        <v>0.0008351120000000001</v>
      </c>
      <c r="O58" t="n">
        <v>0.0008351120000000001</v>
      </c>
    </row>
    <row r="59">
      <c r="A59" t="n">
        <v>58</v>
      </c>
      <c r="B59" t="n">
        <v>28439.8</v>
      </c>
      <c r="C59" t="n">
        <v>1.27131</v>
      </c>
      <c r="D59" t="n">
        <v>0.99624</v>
      </c>
      <c r="E59" t="n">
        <v>2.21089</v>
      </c>
      <c r="F59" t="n">
        <v>0.7944099999999999</v>
      </c>
      <c r="G59" t="n">
        <v>0.7679</v>
      </c>
      <c r="H59" t="n">
        <v>0.78713</v>
      </c>
      <c r="I59" t="n">
        <v>0.46429</v>
      </c>
      <c r="J59" t="n">
        <v>1.28324</v>
      </c>
      <c r="K59" t="n">
        <v>1.03665</v>
      </c>
      <c r="L59" t="n">
        <v>2.36197</v>
      </c>
      <c r="M59" t="n">
        <v>0.0008157559999999999</v>
      </c>
      <c r="N59" t="n">
        <v>0.0008157559999999999</v>
      </c>
      <c r="O59" t="n">
        <v>0.0008157559999999999</v>
      </c>
    </row>
    <row r="60">
      <c r="A60" t="n">
        <v>59</v>
      </c>
      <c r="B60" t="n">
        <v>28927.9</v>
      </c>
      <c r="C60" t="n">
        <v>1.27119</v>
      </c>
      <c r="D60" t="n">
        <v>0.99734</v>
      </c>
      <c r="E60" t="n">
        <v>2.20911</v>
      </c>
      <c r="F60" t="n">
        <v>0.80759</v>
      </c>
      <c r="G60" t="n">
        <v>0.76175</v>
      </c>
      <c r="H60" t="n">
        <v>0.79154</v>
      </c>
      <c r="I60" t="n">
        <v>0.46695</v>
      </c>
      <c r="J60" t="n">
        <v>1.26787</v>
      </c>
      <c r="K60" t="n">
        <v>1.02372</v>
      </c>
      <c r="L60" t="n">
        <v>2.34528</v>
      </c>
      <c r="M60" t="n">
        <v>0.000796359</v>
      </c>
      <c r="N60" t="n">
        <v>0.000796359</v>
      </c>
      <c r="O60" t="n">
        <v>0.000796359</v>
      </c>
    </row>
    <row r="61">
      <c r="A61" t="n">
        <v>60</v>
      </c>
      <c r="B61" t="n">
        <v>29415.8</v>
      </c>
      <c r="C61" t="n">
        <v>1.27041</v>
      </c>
      <c r="D61" t="n">
        <v>1.01888</v>
      </c>
      <c r="E61" t="n">
        <v>2.20738</v>
      </c>
      <c r="F61" t="n">
        <v>0.81479</v>
      </c>
      <c r="G61" t="n">
        <v>0.75297</v>
      </c>
      <c r="H61" t="n">
        <v>0.78874</v>
      </c>
      <c r="I61" t="n">
        <v>0.46789</v>
      </c>
      <c r="J61" t="n">
        <v>1.2696</v>
      </c>
      <c r="K61" t="n">
        <v>1.03979</v>
      </c>
      <c r="L61" t="n">
        <v>2.34467</v>
      </c>
      <c r="M61" t="n">
        <v>0.000776936</v>
      </c>
      <c r="N61" t="n">
        <v>0.000776936</v>
      </c>
      <c r="O61" t="n">
        <v>0.000776936</v>
      </c>
    </row>
    <row r="62">
      <c r="A62" t="n">
        <v>61</v>
      </c>
      <c r="B62" t="n">
        <v>29901</v>
      </c>
      <c r="C62" t="n">
        <v>1.26748</v>
      </c>
      <c r="D62" t="n">
        <v>1.0015</v>
      </c>
      <c r="E62" t="n">
        <v>2.20411</v>
      </c>
      <c r="F62" t="n">
        <v>0.81855</v>
      </c>
      <c r="G62" t="n">
        <v>0.74781</v>
      </c>
      <c r="H62" t="n">
        <v>0.7885799999999999</v>
      </c>
      <c r="I62" t="n">
        <v>0.46685</v>
      </c>
      <c r="J62" t="n">
        <v>1.27253</v>
      </c>
      <c r="K62" t="n">
        <v>1.03086</v>
      </c>
      <c r="L62" t="n">
        <v>2.34823</v>
      </c>
      <c r="M62" t="n">
        <v>0.0007575</v>
      </c>
      <c r="N62" t="n">
        <v>0.0007575</v>
      </c>
      <c r="O62" t="n">
        <v>0.0007575</v>
      </c>
    </row>
    <row r="63">
      <c r="A63" t="n">
        <v>62</v>
      </c>
      <c r="B63" t="n">
        <v>30389.1</v>
      </c>
      <c r="C63" t="n">
        <v>1.25522</v>
      </c>
      <c r="D63" t="n">
        <v>0.98384</v>
      </c>
      <c r="E63" t="n">
        <v>2.19424</v>
      </c>
      <c r="F63" t="n">
        <v>0.81416</v>
      </c>
      <c r="G63" t="n">
        <v>0.75863</v>
      </c>
      <c r="H63" t="n">
        <v>0.78967</v>
      </c>
      <c r="I63" t="n">
        <v>0.46873</v>
      </c>
      <c r="J63" t="n">
        <v>1.26871</v>
      </c>
      <c r="K63" t="n">
        <v>1.04217</v>
      </c>
      <c r="L63" t="n">
        <v>2.33247</v>
      </c>
      <c r="M63" t="n">
        <v>0.000738064</v>
      </c>
      <c r="N63" t="n">
        <v>0.000738064</v>
      </c>
      <c r="O63" t="n">
        <v>0.000738064</v>
      </c>
    </row>
    <row r="64">
      <c r="A64" t="n">
        <v>63</v>
      </c>
      <c r="B64" t="n">
        <v>30880.6</v>
      </c>
      <c r="C64" t="n">
        <v>1.25707</v>
      </c>
      <c r="D64" t="n">
        <v>0.98609</v>
      </c>
      <c r="E64" t="n">
        <v>2.19397</v>
      </c>
      <c r="F64" t="n">
        <v>0.81795</v>
      </c>
      <c r="G64" t="n">
        <v>0.75504</v>
      </c>
      <c r="H64" t="n">
        <v>0.78974</v>
      </c>
      <c r="I64" t="n">
        <v>0.46889</v>
      </c>
      <c r="J64" t="n">
        <v>1.26047</v>
      </c>
      <c r="K64" t="n">
        <v>1.02169</v>
      </c>
      <c r="L64" t="n">
        <v>2.3282</v>
      </c>
      <c r="M64" t="n">
        <v>0.000718641</v>
      </c>
      <c r="N64" t="n">
        <v>0.000718641</v>
      </c>
      <c r="O64" t="n">
        <v>0.000718641</v>
      </c>
    </row>
    <row r="65">
      <c r="A65" t="n">
        <v>64</v>
      </c>
      <c r="B65" t="n">
        <v>31370.3</v>
      </c>
      <c r="C65" t="n">
        <v>1.25156</v>
      </c>
      <c r="D65" t="n">
        <v>1.00078</v>
      </c>
      <c r="E65" t="n">
        <v>2.19416</v>
      </c>
      <c r="F65" t="n">
        <v>0.81096</v>
      </c>
      <c r="G65" t="n">
        <v>0.76576</v>
      </c>
      <c r="H65" t="n">
        <v>0.79921</v>
      </c>
      <c r="I65" t="n">
        <v>0.47596</v>
      </c>
      <c r="J65" t="n">
        <v>1.26142</v>
      </c>
      <c r="K65" t="n">
        <v>1.01989</v>
      </c>
      <c r="L65" t="n">
        <v>2.33219</v>
      </c>
      <c r="M65" t="n">
        <v>0.000699244</v>
      </c>
      <c r="N65" t="n">
        <v>0.000699244</v>
      </c>
      <c r="O65" t="n">
        <v>0.000699244</v>
      </c>
    </row>
    <row r="66">
      <c r="A66" t="n">
        <v>65</v>
      </c>
      <c r="B66" t="n">
        <v>31859.9</v>
      </c>
      <c r="C66" t="n">
        <v>1.24544</v>
      </c>
      <c r="D66" t="n">
        <v>0.97663</v>
      </c>
      <c r="E66" t="n">
        <v>2.17143</v>
      </c>
      <c r="F66" t="n">
        <v>0.8112200000000001</v>
      </c>
      <c r="G66" t="n">
        <v>0.76589</v>
      </c>
      <c r="H66" t="n">
        <v>0.80065</v>
      </c>
      <c r="I66" t="n">
        <v>0.47844</v>
      </c>
      <c r="J66" t="n">
        <v>1.25983</v>
      </c>
      <c r="K66" t="n">
        <v>1.01396</v>
      </c>
      <c r="L66" t="n">
        <v>2.33023</v>
      </c>
      <c r="M66" t="n">
        <v>0.000679888</v>
      </c>
      <c r="N66" t="n">
        <v>0.000679888</v>
      </c>
      <c r="O66" t="n">
        <v>0.000679888</v>
      </c>
    </row>
    <row r="67">
      <c r="A67" t="n">
        <v>66</v>
      </c>
      <c r="B67" t="n">
        <v>32352.4</v>
      </c>
      <c r="C67" t="n">
        <v>1.25008</v>
      </c>
      <c r="D67" t="n">
        <v>0.98606</v>
      </c>
      <c r="E67" t="n">
        <v>2.19684</v>
      </c>
      <c r="F67" t="n">
        <v>0.81424</v>
      </c>
      <c r="G67" t="n">
        <v>0.76637</v>
      </c>
      <c r="H67" t="n">
        <v>0.80342</v>
      </c>
      <c r="I67" t="n">
        <v>0.47951</v>
      </c>
      <c r="J67" t="n">
        <v>1.25927</v>
      </c>
      <c r="K67" t="n">
        <v>1.01975</v>
      </c>
      <c r="L67" t="n">
        <v>2.33106</v>
      </c>
      <c r="M67" t="n">
        <v>0.000660584</v>
      </c>
      <c r="N67" t="n">
        <v>0.000660584</v>
      </c>
      <c r="O67" t="n">
        <v>0.000660584</v>
      </c>
    </row>
    <row r="68">
      <c r="A68" t="n">
        <v>67</v>
      </c>
      <c r="B68" t="n">
        <v>32843.6</v>
      </c>
      <c r="C68" t="n">
        <v>1.24285</v>
      </c>
      <c r="D68" t="n">
        <v>0.97246</v>
      </c>
      <c r="E68" t="n">
        <v>2.18594</v>
      </c>
      <c r="F68" t="n">
        <v>0.82598</v>
      </c>
      <c r="G68" t="n">
        <v>0.76827</v>
      </c>
      <c r="H68" t="n">
        <v>0.80827</v>
      </c>
      <c r="I68" t="n">
        <v>0.48341</v>
      </c>
      <c r="J68" t="n">
        <v>1.25844</v>
      </c>
      <c r="K68" t="n">
        <v>1.00496</v>
      </c>
      <c r="L68" t="n">
        <v>2.33012</v>
      </c>
      <c r="M68" t="n">
        <v>0.000641347</v>
      </c>
      <c r="N68" t="n">
        <v>0.000641347</v>
      </c>
      <c r="O68" t="n">
        <v>0.000641347</v>
      </c>
    </row>
    <row r="69">
      <c r="A69" t="n">
        <v>68</v>
      </c>
      <c r="B69" t="n">
        <v>33329.6</v>
      </c>
      <c r="C69" t="n">
        <v>1.24122</v>
      </c>
      <c r="D69" t="n">
        <v>0.96379</v>
      </c>
      <c r="E69" t="n">
        <v>2.17842</v>
      </c>
      <c r="F69" t="n">
        <v>0.84117</v>
      </c>
      <c r="G69" t="n">
        <v>0.75963</v>
      </c>
      <c r="H69" t="n">
        <v>0.8089</v>
      </c>
      <c r="I69" t="n">
        <v>0.48386</v>
      </c>
      <c r="J69" t="n">
        <v>1.25811</v>
      </c>
      <c r="K69" t="n">
        <v>0.98583</v>
      </c>
      <c r="L69" t="n">
        <v>2.32938</v>
      </c>
      <c r="M69" t="n">
        <v>0.00062219</v>
      </c>
      <c r="N69" t="n">
        <v>0.00062219</v>
      </c>
      <c r="O69" t="n">
        <v>0.00062219</v>
      </c>
    </row>
    <row r="70">
      <c r="A70" t="n">
        <v>69</v>
      </c>
      <c r="B70" t="n">
        <v>33817.6</v>
      </c>
      <c r="C70" t="n">
        <v>1.22862</v>
      </c>
      <c r="D70" t="n">
        <v>0.96051</v>
      </c>
      <c r="E70" t="n">
        <v>2.16792</v>
      </c>
      <c r="F70" t="n">
        <v>0.83796</v>
      </c>
      <c r="G70" t="n">
        <v>0.75827</v>
      </c>
      <c r="H70" t="n">
        <v>0.80625</v>
      </c>
      <c r="I70" t="n">
        <v>0.48175</v>
      </c>
      <c r="J70" t="n">
        <v>1.26126</v>
      </c>
      <c r="K70" t="n">
        <v>0.9751300000000001</v>
      </c>
      <c r="L70" t="n">
        <v>2.33123</v>
      </c>
      <c r="M70" t="n">
        <v>0.0006031260000000001</v>
      </c>
      <c r="N70" t="n">
        <v>0.0006031260000000001</v>
      </c>
      <c r="O70" t="n">
        <v>0.0006031260000000001</v>
      </c>
    </row>
    <row r="71">
      <c r="A71" t="n">
        <v>70</v>
      </c>
      <c r="B71" t="n">
        <v>34306.7</v>
      </c>
      <c r="C71" t="n">
        <v>1.22613</v>
      </c>
      <c r="D71" t="n">
        <v>0.94386</v>
      </c>
      <c r="E71" t="n">
        <v>2.16082</v>
      </c>
      <c r="F71" t="n">
        <v>0.82355</v>
      </c>
      <c r="G71" t="n">
        <v>0.76942</v>
      </c>
      <c r="H71" t="n">
        <v>0.8066</v>
      </c>
      <c r="I71" t="n">
        <v>0.48234</v>
      </c>
      <c r="J71" t="n">
        <v>1.25591</v>
      </c>
      <c r="K71" t="n">
        <v>0.97744</v>
      </c>
      <c r="L71" t="n">
        <v>2.32769</v>
      </c>
      <c r="M71" t="n">
        <v>0.000584167</v>
      </c>
      <c r="N71" t="n">
        <v>0.000584167</v>
      </c>
      <c r="O71" t="n">
        <v>0.000584167</v>
      </c>
    </row>
    <row r="72">
      <c r="A72" t="n">
        <v>71</v>
      </c>
      <c r="B72" t="n">
        <v>34796.5</v>
      </c>
      <c r="C72" t="n">
        <v>1.22892</v>
      </c>
      <c r="D72" t="n">
        <v>0.95208</v>
      </c>
      <c r="E72" t="n">
        <v>2.16376</v>
      </c>
      <c r="F72" t="n">
        <v>0.83246</v>
      </c>
      <c r="G72" t="n">
        <v>0.7609900000000001</v>
      </c>
      <c r="H72" t="n">
        <v>0.8076100000000001</v>
      </c>
      <c r="I72" t="n">
        <v>0.48332</v>
      </c>
      <c r="J72" t="n">
        <v>1.25259</v>
      </c>
      <c r="K72" t="n">
        <v>0.96889</v>
      </c>
      <c r="L72" t="n">
        <v>2.32317</v>
      </c>
      <c r="M72" t="n">
        <v>0.000565327</v>
      </c>
      <c r="N72" t="n">
        <v>0.000565327</v>
      </c>
      <c r="O72" t="n">
        <v>0.000565327</v>
      </c>
    </row>
    <row r="73">
      <c r="A73" t="n">
        <v>72</v>
      </c>
      <c r="B73" t="n">
        <v>35286</v>
      </c>
      <c r="C73" t="n">
        <v>1.22826</v>
      </c>
      <c r="D73" t="n">
        <v>0.93891</v>
      </c>
      <c r="E73" t="n">
        <v>2.15044</v>
      </c>
      <c r="F73" t="n">
        <v>0.83931</v>
      </c>
      <c r="G73" t="n">
        <v>0.75353</v>
      </c>
      <c r="H73" t="n">
        <v>0.8065099999999999</v>
      </c>
      <c r="I73" t="n">
        <v>0.48408</v>
      </c>
      <c r="J73" t="n">
        <v>1.25349</v>
      </c>
      <c r="K73" t="n">
        <v>0.9629799999999999</v>
      </c>
      <c r="L73" t="n">
        <v>2.3266</v>
      </c>
      <c r="M73" t="n">
        <v>0.000546619</v>
      </c>
      <c r="N73" t="n">
        <v>0.000546619</v>
      </c>
      <c r="O73" t="n">
        <v>0.000546619</v>
      </c>
    </row>
    <row r="74">
      <c r="A74" t="n">
        <v>73</v>
      </c>
      <c r="B74" t="n">
        <v>35779.5</v>
      </c>
      <c r="C74" t="n">
        <v>1.23056</v>
      </c>
      <c r="D74" t="n">
        <v>0.95137</v>
      </c>
      <c r="E74" t="n">
        <v>2.18172</v>
      </c>
      <c r="F74" t="n">
        <v>0.84327</v>
      </c>
      <c r="G74" t="n">
        <v>0.75197</v>
      </c>
      <c r="H74" t="n">
        <v>0.8089</v>
      </c>
      <c r="I74" t="n">
        <v>0.48504</v>
      </c>
      <c r="J74" t="n">
        <v>1.25229</v>
      </c>
      <c r="K74" t="n">
        <v>0.95394</v>
      </c>
      <c r="L74" t="n">
        <v>2.32574</v>
      </c>
      <c r="M74" t="n">
        <v>0.000528055</v>
      </c>
      <c r="N74" t="n">
        <v>0.000528055</v>
      </c>
      <c r="O74" t="n">
        <v>0.000528055</v>
      </c>
    </row>
    <row r="75">
      <c r="A75" t="n">
        <v>74</v>
      </c>
      <c r="B75" t="n">
        <v>36267.8</v>
      </c>
      <c r="C75" t="n">
        <v>1.22862</v>
      </c>
      <c r="D75" t="n">
        <v>0.94143</v>
      </c>
      <c r="E75" t="n">
        <v>2.15953</v>
      </c>
      <c r="F75" t="n">
        <v>0.84082</v>
      </c>
      <c r="G75" t="n">
        <v>0.7577</v>
      </c>
      <c r="H75" t="n">
        <v>0.80888</v>
      </c>
      <c r="I75" t="n">
        <v>0.48569</v>
      </c>
      <c r="J75" t="n">
        <v>1.25214</v>
      </c>
      <c r="K75" t="n">
        <v>0.9507</v>
      </c>
      <c r="L75" t="n">
        <v>2.32463</v>
      </c>
      <c r="M75" t="n">
        <v>0.000509648</v>
      </c>
      <c r="N75" t="n">
        <v>0.000509648</v>
      </c>
      <c r="O75" t="n">
        <v>0.000509648</v>
      </c>
    </row>
    <row r="76">
      <c r="A76" t="n">
        <v>75</v>
      </c>
      <c r="B76" t="n">
        <v>36755.2</v>
      </c>
      <c r="C76" t="n">
        <v>1.22537</v>
      </c>
      <c r="D76" t="n">
        <v>0.92438</v>
      </c>
      <c r="E76" t="n">
        <v>2.17254</v>
      </c>
      <c r="F76" t="n">
        <v>0.83752</v>
      </c>
      <c r="G76" t="n">
        <v>0.7553800000000001</v>
      </c>
      <c r="H76" t="n">
        <v>0.80804</v>
      </c>
      <c r="I76" t="n">
        <v>0.48474</v>
      </c>
      <c r="J76" t="n">
        <v>1.25025</v>
      </c>
      <c r="K76" t="n">
        <v>0.95</v>
      </c>
      <c r="L76" t="n">
        <v>2.32269</v>
      </c>
      <c r="M76" t="n">
        <v>0.000491412</v>
      </c>
      <c r="N76" t="n">
        <v>0.000491412</v>
      </c>
      <c r="O76" t="n">
        <v>0.000491412</v>
      </c>
    </row>
    <row r="77">
      <c r="A77" t="n">
        <v>76</v>
      </c>
      <c r="B77" t="n">
        <v>37242.8</v>
      </c>
      <c r="C77" t="n">
        <v>1.22083</v>
      </c>
      <c r="D77" t="n">
        <v>0.93409</v>
      </c>
      <c r="E77" t="n">
        <v>2.1495</v>
      </c>
      <c r="F77" t="n">
        <v>0.83314</v>
      </c>
      <c r="G77" t="n">
        <v>0.76563</v>
      </c>
      <c r="H77" t="n">
        <v>0.81355</v>
      </c>
      <c r="I77" t="n">
        <v>0.48666</v>
      </c>
      <c r="J77" t="n">
        <v>1.24912</v>
      </c>
      <c r="K77" t="n">
        <v>0.95208</v>
      </c>
      <c r="L77" t="n">
        <v>2.31912</v>
      </c>
      <c r="M77" t="n">
        <v>0.000473358</v>
      </c>
      <c r="N77" t="n">
        <v>0.000473358</v>
      </c>
      <c r="O77" t="n">
        <v>0.000473358</v>
      </c>
    </row>
    <row r="78">
      <c r="A78" t="n">
        <v>77</v>
      </c>
      <c r="B78" t="n">
        <v>37732.6</v>
      </c>
      <c r="C78" t="n">
        <v>1.21077</v>
      </c>
      <c r="D78" t="n">
        <v>0.92355</v>
      </c>
      <c r="E78" t="n">
        <v>2.14624</v>
      </c>
      <c r="F78" t="n">
        <v>0.82719</v>
      </c>
      <c r="G78" t="n">
        <v>0.76958</v>
      </c>
      <c r="H78" t="n">
        <v>0.8138300000000001</v>
      </c>
      <c r="I78" t="n">
        <v>0.48817</v>
      </c>
      <c r="J78" t="n">
        <v>1.24996</v>
      </c>
      <c r="K78" t="n">
        <v>0.95372</v>
      </c>
      <c r="L78" t="n">
        <v>2.31742</v>
      </c>
      <c r="M78" t="n">
        <v>0.000455498</v>
      </c>
      <c r="N78" t="n">
        <v>0.000455498</v>
      </c>
      <c r="O78" t="n">
        <v>0.000455498</v>
      </c>
    </row>
    <row r="79">
      <c r="A79" t="n">
        <v>78</v>
      </c>
      <c r="B79" t="n">
        <v>38221.5</v>
      </c>
      <c r="C79" t="n">
        <v>1.19534</v>
      </c>
      <c r="D79" t="n">
        <v>0.89881</v>
      </c>
      <c r="E79" t="n">
        <v>2.12025</v>
      </c>
      <c r="F79" t="n">
        <v>0.83421</v>
      </c>
      <c r="G79" t="n">
        <v>0.77049</v>
      </c>
      <c r="H79" t="n">
        <v>0.81496</v>
      </c>
      <c r="I79" t="n">
        <v>0.48911</v>
      </c>
      <c r="J79" t="n">
        <v>1.24844</v>
      </c>
      <c r="K79" t="n">
        <v>0.95199</v>
      </c>
      <c r="L79" t="n">
        <v>2.31645</v>
      </c>
      <c r="M79" t="n">
        <v>0.000437846</v>
      </c>
      <c r="N79" t="n">
        <v>0.000437846</v>
      </c>
      <c r="O79" t="n">
        <v>0.000437846</v>
      </c>
    </row>
    <row r="80">
      <c r="A80" t="n">
        <v>79</v>
      </c>
      <c r="B80" t="n">
        <v>38711.6</v>
      </c>
      <c r="C80" t="n">
        <v>1.20342</v>
      </c>
      <c r="D80" t="n">
        <v>0.90885</v>
      </c>
      <c r="E80" t="n">
        <v>2.13296</v>
      </c>
      <c r="F80" t="n">
        <v>0.8306</v>
      </c>
      <c r="G80" t="n">
        <v>0.77339</v>
      </c>
      <c r="H80" t="n">
        <v>0.81667</v>
      </c>
      <c r="I80" t="n">
        <v>0.49135</v>
      </c>
      <c r="J80" t="n">
        <v>1.24764</v>
      </c>
      <c r="K80" t="n">
        <v>0.95162</v>
      </c>
      <c r="L80" t="n">
        <v>2.31715</v>
      </c>
      <c r="M80" t="n">
        <v>0.000420412</v>
      </c>
      <c r="N80" t="n">
        <v>0.000420412</v>
      </c>
      <c r="O80" t="n">
        <v>0.000420412</v>
      </c>
    </row>
    <row r="81">
      <c r="A81" t="n">
        <v>80</v>
      </c>
      <c r="B81" t="n">
        <v>39195.3</v>
      </c>
      <c r="C81" t="n">
        <v>1.20646</v>
      </c>
      <c r="D81" t="n">
        <v>0.91346</v>
      </c>
      <c r="E81" t="n">
        <v>2.12773</v>
      </c>
      <c r="F81" t="n">
        <v>0.84123</v>
      </c>
      <c r="G81" t="n">
        <v>0.7697000000000001</v>
      </c>
      <c r="H81" t="n">
        <v>0.81711</v>
      </c>
      <c r="I81" t="n">
        <v>0.49148</v>
      </c>
      <c r="J81" t="n">
        <v>1.24869</v>
      </c>
      <c r="K81" t="n">
        <v>0.9482699999999999</v>
      </c>
      <c r="L81" t="n">
        <v>2.31718</v>
      </c>
      <c r="M81" t="n">
        <v>0.00040321</v>
      </c>
      <c r="N81" t="n">
        <v>0.00040321</v>
      </c>
      <c r="O81" t="n">
        <v>0.00040321</v>
      </c>
    </row>
    <row r="82">
      <c r="A82" t="n">
        <v>81</v>
      </c>
      <c r="B82" t="n">
        <v>39681.9</v>
      </c>
      <c r="C82" t="n">
        <v>1.18564</v>
      </c>
      <c r="D82" t="n">
        <v>0.87574</v>
      </c>
      <c r="E82" t="n">
        <v>2.10776</v>
      </c>
      <c r="F82" t="n">
        <v>0.844</v>
      </c>
      <c r="G82" t="n">
        <v>0.76429</v>
      </c>
      <c r="H82" t="n">
        <v>0.8171</v>
      </c>
      <c r="I82" t="n">
        <v>0.49192</v>
      </c>
      <c r="J82" t="n">
        <v>1.24726</v>
      </c>
      <c r="K82" t="n">
        <v>0.94491</v>
      </c>
      <c r="L82" t="n">
        <v>2.31542</v>
      </c>
      <c r="M82" t="n">
        <v>0.00038625</v>
      </c>
      <c r="N82" t="n">
        <v>0.00038625</v>
      </c>
      <c r="O82" t="n">
        <v>0.00038625</v>
      </c>
    </row>
    <row r="83">
      <c r="A83" t="n">
        <v>82</v>
      </c>
      <c r="B83" t="n">
        <v>40171.4</v>
      </c>
      <c r="C83" t="n">
        <v>1.19193</v>
      </c>
      <c r="D83" t="n">
        <v>0.90283</v>
      </c>
      <c r="E83" t="n">
        <v>2.12681</v>
      </c>
      <c r="F83" t="n">
        <v>0.83995</v>
      </c>
      <c r="G83" t="n">
        <v>0.7652600000000001</v>
      </c>
      <c r="H83" t="n">
        <v>0.81589</v>
      </c>
      <c r="I83" t="n">
        <v>0.49239</v>
      </c>
      <c r="J83" t="n">
        <v>1.24595</v>
      </c>
      <c r="K83" t="n">
        <v>0.94087</v>
      </c>
      <c r="L83" t="n">
        <v>2.31376</v>
      </c>
      <c r="M83" t="n">
        <v>0.000369545</v>
      </c>
      <c r="N83" t="n">
        <v>0.000369545</v>
      </c>
      <c r="O83" t="n">
        <v>0.000369545</v>
      </c>
    </row>
    <row r="84">
      <c r="A84" t="n">
        <v>83</v>
      </c>
      <c r="B84" t="n">
        <v>40655.8</v>
      </c>
      <c r="C84" t="n">
        <v>1.19722</v>
      </c>
      <c r="D84" t="n">
        <v>0.90949</v>
      </c>
      <c r="E84" t="n">
        <v>2.11563</v>
      </c>
      <c r="F84" t="n">
        <v>0.83231</v>
      </c>
      <c r="G84" t="n">
        <v>0.77282</v>
      </c>
      <c r="H84" t="n">
        <v>0.81662</v>
      </c>
      <c r="I84" t="n">
        <v>0.49339</v>
      </c>
      <c r="J84" t="n">
        <v>1.24476</v>
      </c>
      <c r="K84" t="n">
        <v>0.94029</v>
      </c>
      <c r="L84" t="n">
        <v>2.31083</v>
      </c>
      <c r="M84" t="n">
        <v>0.000353106</v>
      </c>
      <c r="N84" t="n">
        <v>0.000353106</v>
      </c>
      <c r="O84" t="n">
        <v>0.000353106</v>
      </c>
    </row>
    <row r="85">
      <c r="A85" t="n">
        <v>84</v>
      </c>
      <c r="B85" t="n">
        <v>41143.2</v>
      </c>
      <c r="C85" t="n">
        <v>1.18194</v>
      </c>
      <c r="D85" t="n">
        <v>0.86743</v>
      </c>
      <c r="E85" t="n">
        <v>2.09181</v>
      </c>
      <c r="F85" t="n">
        <v>0.82934</v>
      </c>
      <c r="G85" t="n">
        <v>0.77868</v>
      </c>
      <c r="H85" t="n">
        <v>0.81757</v>
      </c>
      <c r="I85" t="n">
        <v>0.49364</v>
      </c>
      <c r="J85" t="n">
        <v>1.24412</v>
      </c>
      <c r="K85" t="n">
        <v>0.94107</v>
      </c>
      <c r="L85" t="n">
        <v>2.30979</v>
      </c>
      <c r="M85" t="n">
        <v>0.000336943</v>
      </c>
      <c r="N85" t="n">
        <v>0.000336943</v>
      </c>
      <c r="O85" t="n">
        <v>0.000336943</v>
      </c>
    </row>
    <row r="86">
      <c r="A86" t="n">
        <v>85</v>
      </c>
      <c r="B86" t="n">
        <v>41630.6</v>
      </c>
      <c r="C86" t="n">
        <v>1.17856</v>
      </c>
      <c r="D86" t="n">
        <v>0.8628400000000001</v>
      </c>
      <c r="E86" t="n">
        <v>2.09584</v>
      </c>
      <c r="F86" t="n">
        <v>0.8287099999999999</v>
      </c>
      <c r="G86" t="n">
        <v>0.77751</v>
      </c>
      <c r="H86" t="n">
        <v>0.81693</v>
      </c>
      <c r="I86" t="n">
        <v>0.49273</v>
      </c>
      <c r="J86" t="n">
        <v>1.24478</v>
      </c>
      <c r="K86" t="n">
        <v>0.94243</v>
      </c>
      <c r="L86" t="n">
        <v>2.30979</v>
      </c>
      <c r="M86" t="n">
        <v>0.000321069</v>
      </c>
      <c r="N86" t="n">
        <v>0.000321069</v>
      </c>
      <c r="O86" t="n">
        <v>0.000321069</v>
      </c>
    </row>
    <row r="87">
      <c r="A87" t="n">
        <v>86</v>
      </c>
      <c r="B87" t="n">
        <v>42118.8</v>
      </c>
      <c r="C87" t="n">
        <v>1.17214</v>
      </c>
      <c r="D87" t="n">
        <v>0.86608</v>
      </c>
      <c r="E87" t="n">
        <v>2.10016</v>
      </c>
      <c r="F87" t="n">
        <v>0.83088</v>
      </c>
      <c r="G87" t="n">
        <v>0.77688</v>
      </c>
      <c r="H87" t="n">
        <v>0.81804</v>
      </c>
      <c r="I87" t="n">
        <v>0.49335</v>
      </c>
      <c r="J87" t="n">
        <v>1.24464</v>
      </c>
      <c r="K87" t="n">
        <v>0.9457100000000001</v>
      </c>
      <c r="L87" t="n">
        <v>2.30894</v>
      </c>
      <c r="M87" t="n">
        <v>0.000305495</v>
      </c>
      <c r="N87" t="n">
        <v>0.000305495</v>
      </c>
      <c r="O87" t="n">
        <v>0.000305495</v>
      </c>
    </row>
    <row r="88">
      <c r="A88" t="n">
        <v>87</v>
      </c>
      <c r="B88" t="n">
        <v>42607.4</v>
      </c>
      <c r="C88" t="n">
        <v>1.18157</v>
      </c>
      <c r="D88" t="n">
        <v>0.87222</v>
      </c>
      <c r="E88" t="n">
        <v>2.10654</v>
      </c>
      <c r="F88" t="n">
        <v>0.83287</v>
      </c>
      <c r="G88" t="n">
        <v>0.77702</v>
      </c>
      <c r="H88" t="n">
        <v>0.81825</v>
      </c>
      <c r="I88" t="n">
        <v>0.49282</v>
      </c>
      <c r="J88" t="n">
        <v>1.24482</v>
      </c>
      <c r="K88" t="n">
        <v>0.94553</v>
      </c>
      <c r="L88" t="n">
        <v>2.30984</v>
      </c>
      <c r="M88" t="n">
        <v>0.00029023</v>
      </c>
      <c r="N88" t="n">
        <v>0.00029023</v>
      </c>
      <c r="O88" t="n">
        <v>0.00029023</v>
      </c>
    </row>
    <row r="89">
      <c r="A89" t="n">
        <v>88</v>
      </c>
      <c r="B89" t="n">
        <v>43095.1</v>
      </c>
      <c r="C89" t="n">
        <v>1.18921</v>
      </c>
      <c r="D89" t="n">
        <v>0.88632</v>
      </c>
      <c r="E89" t="n">
        <v>2.11989</v>
      </c>
      <c r="F89" t="n">
        <v>0.82679</v>
      </c>
      <c r="G89" t="n">
        <v>0.7793600000000001</v>
      </c>
      <c r="H89" t="n">
        <v>0.81795</v>
      </c>
      <c r="I89" t="n">
        <v>0.49302</v>
      </c>
      <c r="J89" t="n">
        <v>1.24476</v>
      </c>
      <c r="K89" t="n">
        <v>0.9484399999999999</v>
      </c>
      <c r="L89" t="n">
        <v>2.30954</v>
      </c>
      <c r="M89" t="n">
        <v>0.000275285</v>
      </c>
      <c r="N89" t="n">
        <v>0.000275285</v>
      </c>
      <c r="O89" t="n">
        <v>0.000275285</v>
      </c>
    </row>
    <row r="90">
      <c r="A90" t="n">
        <v>89</v>
      </c>
      <c r="B90" t="n">
        <v>43582.9</v>
      </c>
      <c r="C90" t="n">
        <v>1.17646</v>
      </c>
      <c r="D90" t="n">
        <v>0.86625</v>
      </c>
      <c r="E90" t="n">
        <v>2.08265</v>
      </c>
      <c r="F90" t="n">
        <v>0.83029</v>
      </c>
      <c r="G90" t="n">
        <v>0.78087</v>
      </c>
      <c r="H90" t="n">
        <v>0.81842</v>
      </c>
      <c r="I90" t="n">
        <v>0.49307</v>
      </c>
      <c r="J90" t="n">
        <v>1.24576</v>
      </c>
      <c r="K90" t="n">
        <v>0.94955</v>
      </c>
      <c r="L90" t="n">
        <v>2.31056</v>
      </c>
      <c r="M90" t="n">
        <v>0.000260671</v>
      </c>
      <c r="N90" t="n">
        <v>0.000260671</v>
      </c>
      <c r="O90" t="n">
        <v>0.000260671</v>
      </c>
    </row>
    <row r="91">
      <c r="A91" t="n">
        <v>90</v>
      </c>
      <c r="B91" t="n">
        <v>44072.9</v>
      </c>
      <c r="C91" t="n">
        <v>1.17031</v>
      </c>
      <c r="D91" t="n">
        <v>0.85536</v>
      </c>
      <c r="E91" t="n">
        <v>2.08869</v>
      </c>
      <c r="F91" t="n">
        <v>0.83178</v>
      </c>
      <c r="G91" t="n">
        <v>0.77812</v>
      </c>
      <c r="H91" t="n">
        <v>0.81771</v>
      </c>
      <c r="I91" t="n">
        <v>0.49264</v>
      </c>
      <c r="J91" t="n">
        <v>1.24555</v>
      </c>
      <c r="K91" t="n">
        <v>0.95064</v>
      </c>
      <c r="L91" t="n">
        <v>2.30966</v>
      </c>
      <c r="M91" t="n">
        <v>0.000246397</v>
      </c>
      <c r="N91" t="n">
        <v>0.000246397</v>
      </c>
      <c r="O91" t="n">
        <v>0.000246397</v>
      </c>
    </row>
    <row r="92">
      <c r="A92" t="n">
        <v>91</v>
      </c>
      <c r="B92" t="n">
        <v>44564.3</v>
      </c>
      <c r="C92" t="n">
        <v>1.16777</v>
      </c>
      <c r="D92" t="n">
        <v>0.84827</v>
      </c>
      <c r="E92" t="n">
        <v>2.09236</v>
      </c>
      <c r="F92" t="n">
        <v>0.8269300000000001</v>
      </c>
      <c r="G92" t="n">
        <v>0.78104</v>
      </c>
      <c r="H92" t="n">
        <v>0.81789</v>
      </c>
      <c r="I92" t="n">
        <v>0.49234</v>
      </c>
      <c r="J92" t="n">
        <v>1.2459</v>
      </c>
      <c r="K92" t="n">
        <v>0.94797</v>
      </c>
      <c r="L92" t="n">
        <v>2.3098</v>
      </c>
      <c r="M92" t="n">
        <v>0.000232473</v>
      </c>
      <c r="N92" t="n">
        <v>0.000232473</v>
      </c>
      <c r="O92" t="n">
        <v>0.000232473</v>
      </c>
    </row>
    <row r="93">
      <c r="A93" t="n">
        <v>92</v>
      </c>
      <c r="B93" t="n">
        <v>45055.2</v>
      </c>
      <c r="C93" t="n">
        <v>1.16768</v>
      </c>
      <c r="D93" t="n">
        <v>0.85039</v>
      </c>
      <c r="E93" t="n">
        <v>2.08516</v>
      </c>
      <c r="F93" t="n">
        <v>0.8278</v>
      </c>
      <c r="G93" t="n">
        <v>0.78111</v>
      </c>
      <c r="H93" t="n">
        <v>0.81875</v>
      </c>
      <c r="I93" t="n">
        <v>0.4931</v>
      </c>
      <c r="J93" t="n">
        <v>1.24522</v>
      </c>
      <c r="K93" t="n">
        <v>0.9468</v>
      </c>
      <c r="L93" t="n">
        <v>2.30861</v>
      </c>
      <c r="M93" t="n">
        <v>0.00021891</v>
      </c>
      <c r="N93" t="n">
        <v>0.00021891</v>
      </c>
      <c r="O93" t="n">
        <v>0.00021891</v>
      </c>
    </row>
    <row r="94">
      <c r="A94" t="n">
        <v>93</v>
      </c>
      <c r="B94" t="n">
        <v>45543.8</v>
      </c>
      <c r="C94" t="n">
        <v>1.16786</v>
      </c>
      <c r="D94" t="n">
        <v>0.85067</v>
      </c>
      <c r="E94" t="n">
        <v>2.09298</v>
      </c>
      <c r="F94" t="n">
        <v>0.83096</v>
      </c>
      <c r="G94" t="n">
        <v>0.77894</v>
      </c>
      <c r="H94" t="n">
        <v>0.81978</v>
      </c>
      <c r="I94" t="n">
        <v>0.49353</v>
      </c>
      <c r="J94" t="n">
        <v>1.24495</v>
      </c>
      <c r="K94" t="n">
        <v>0.94451</v>
      </c>
      <c r="L94" t="n">
        <v>2.30859</v>
      </c>
      <c r="M94" t="n">
        <v>0.000205715</v>
      </c>
      <c r="N94" t="n">
        <v>0.000205715</v>
      </c>
      <c r="O94" t="n">
        <v>0.000205715</v>
      </c>
    </row>
    <row r="95">
      <c r="A95" t="n">
        <v>94</v>
      </c>
      <c r="B95" t="n">
        <v>46031.2</v>
      </c>
      <c r="C95" t="n">
        <v>1.15518</v>
      </c>
      <c r="D95" t="n">
        <v>0.85511</v>
      </c>
      <c r="E95" t="n">
        <v>2.07355</v>
      </c>
      <c r="F95" t="n">
        <v>0.83651</v>
      </c>
      <c r="G95" t="n">
        <v>0.77698</v>
      </c>
      <c r="H95" t="n">
        <v>0.8208800000000001</v>
      </c>
      <c r="I95" t="n">
        <v>0.49422</v>
      </c>
      <c r="J95" t="n">
        <v>1.244</v>
      </c>
      <c r="K95" t="n">
        <v>0.94385</v>
      </c>
      <c r="L95" t="n">
        <v>2.30677</v>
      </c>
      <c r="M95" t="n">
        <v>0.000192899</v>
      </c>
      <c r="N95" t="n">
        <v>0.000192899</v>
      </c>
      <c r="O95" t="n">
        <v>0.000192899</v>
      </c>
    </row>
    <row r="96">
      <c r="A96" t="n">
        <v>95</v>
      </c>
      <c r="B96" t="n">
        <v>46516.5</v>
      </c>
      <c r="C96" t="n">
        <v>1.16559</v>
      </c>
      <c r="D96" t="n">
        <v>0.85753</v>
      </c>
      <c r="E96" t="n">
        <v>2.08516</v>
      </c>
      <c r="F96" t="n">
        <v>0.83826</v>
      </c>
      <c r="G96" t="n">
        <v>0.77573</v>
      </c>
      <c r="H96" t="n">
        <v>0.82087</v>
      </c>
      <c r="I96" t="n">
        <v>0.49552</v>
      </c>
      <c r="J96" t="n">
        <v>1.2436</v>
      </c>
      <c r="K96" t="n">
        <v>0.94274</v>
      </c>
      <c r="L96" t="n">
        <v>2.30594</v>
      </c>
      <c r="M96" t="n">
        <v>0.000180469</v>
      </c>
      <c r="N96" t="n">
        <v>0.000180469</v>
      </c>
      <c r="O96" t="n">
        <v>0.000180469</v>
      </c>
    </row>
    <row r="97">
      <c r="A97" t="n">
        <v>96</v>
      </c>
      <c r="B97" t="n">
        <v>47005.1</v>
      </c>
      <c r="C97" t="n">
        <v>1.15708</v>
      </c>
      <c r="D97" t="n">
        <v>0.84682</v>
      </c>
      <c r="E97" t="n">
        <v>2.08233</v>
      </c>
      <c r="F97" t="n">
        <v>0.8414199999999999</v>
      </c>
      <c r="G97" t="n">
        <v>0.77242</v>
      </c>
      <c r="H97" t="n">
        <v>0.821</v>
      </c>
      <c r="I97" t="n">
        <v>0.496</v>
      </c>
      <c r="J97" t="n">
        <v>1.24353</v>
      </c>
      <c r="K97" t="n">
        <v>0.94035</v>
      </c>
      <c r="L97" t="n">
        <v>2.3057</v>
      </c>
      <c r="M97" t="n">
        <v>0.000168435</v>
      </c>
      <c r="N97" t="n">
        <v>0.000168435</v>
      </c>
      <c r="O97" t="n">
        <v>0.000168435</v>
      </c>
    </row>
    <row r="98">
      <c r="A98" t="n">
        <v>97</v>
      </c>
      <c r="B98" t="n">
        <v>47494.6</v>
      </c>
      <c r="C98" t="n">
        <v>1.16303</v>
      </c>
      <c r="D98" t="n">
        <v>0.8470299999999999</v>
      </c>
      <c r="E98" t="n">
        <v>2.09241</v>
      </c>
      <c r="F98" t="n">
        <v>0.84167</v>
      </c>
      <c r="G98" t="n">
        <v>0.77289</v>
      </c>
      <c r="H98" t="n">
        <v>0.82103</v>
      </c>
      <c r="I98" t="n">
        <v>0.4961</v>
      </c>
      <c r="J98" t="n">
        <v>1.24341</v>
      </c>
      <c r="K98" t="n">
        <v>0.93863</v>
      </c>
      <c r="L98" t="n">
        <v>2.30527</v>
      </c>
      <c r="M98" t="n">
        <v>0.000156805</v>
      </c>
      <c r="N98" t="n">
        <v>0.000156805</v>
      </c>
      <c r="O98" t="n">
        <v>0.000156805</v>
      </c>
    </row>
    <row r="99">
      <c r="A99" t="n">
        <v>98</v>
      </c>
      <c r="B99" t="n">
        <v>47980</v>
      </c>
      <c r="C99" t="n">
        <v>1.15823</v>
      </c>
      <c r="D99" t="n">
        <v>0.84037</v>
      </c>
      <c r="E99" t="n">
        <v>2.08323</v>
      </c>
      <c r="F99" t="n">
        <v>0.8414700000000001</v>
      </c>
      <c r="G99" t="n">
        <v>0.77283</v>
      </c>
      <c r="H99" t="n">
        <v>0.82123</v>
      </c>
      <c r="I99" t="n">
        <v>0.49748</v>
      </c>
      <c r="J99" t="n">
        <v>1.24376</v>
      </c>
      <c r="K99" t="n">
        <v>0.93579</v>
      </c>
      <c r="L99" t="n">
        <v>2.30556</v>
      </c>
      <c r="M99" t="n">
        <v>0.000145586</v>
      </c>
      <c r="N99" t="n">
        <v>0.000145586</v>
      </c>
      <c r="O99" t="n">
        <v>0.000145586</v>
      </c>
    </row>
    <row r="100">
      <c r="A100" t="n">
        <v>99</v>
      </c>
      <c r="B100" t="n">
        <v>48471.4</v>
      </c>
      <c r="C100" t="n">
        <v>1.1617</v>
      </c>
      <c r="D100" t="n">
        <v>0.84957</v>
      </c>
      <c r="E100" t="n">
        <v>2.08918</v>
      </c>
      <c r="F100" t="n">
        <v>0.84087</v>
      </c>
      <c r="G100" t="n">
        <v>0.77316</v>
      </c>
      <c r="H100" t="n">
        <v>0.82124</v>
      </c>
      <c r="I100" t="n">
        <v>0.49706</v>
      </c>
      <c r="J100" t="n">
        <v>1.24413</v>
      </c>
      <c r="K100" t="n">
        <v>0.93523</v>
      </c>
      <c r="L100" t="n">
        <v>2.30499</v>
      </c>
      <c r="M100" t="n">
        <v>0.000134787</v>
      </c>
      <c r="N100" t="n">
        <v>0.000134787</v>
      </c>
      <c r="O100" t="n">
        <v>0.000134787</v>
      </c>
    </row>
    <row r="101">
      <c r="A101" t="n">
        <v>100</v>
      </c>
      <c r="B101" t="n">
        <v>48960.8</v>
      </c>
      <c r="C101" t="n">
        <v>1.14148</v>
      </c>
      <c r="D101" t="n">
        <v>0.83174</v>
      </c>
      <c r="E101" t="n">
        <v>2.07441</v>
      </c>
      <c r="F101" t="n">
        <v>0.842</v>
      </c>
      <c r="G101" t="n">
        <v>0.77313</v>
      </c>
      <c r="H101" t="n">
        <v>0.8208</v>
      </c>
      <c r="I101" t="n">
        <v>0.49696</v>
      </c>
      <c r="J101" t="n">
        <v>1.24408</v>
      </c>
      <c r="K101" t="n">
        <v>0.93484</v>
      </c>
      <c r="L101" t="n">
        <v>2.30443</v>
      </c>
      <c r="M101" t="n">
        <v>0.000124415</v>
      </c>
      <c r="N101" t="n">
        <v>0.000124415</v>
      </c>
      <c r="O101" t="n">
        <v>0.000124415</v>
      </c>
    </row>
    <row r="102">
      <c r="A102" t="n">
        <v>101</v>
      </c>
      <c r="B102" t="n">
        <v>49449</v>
      </c>
      <c r="C102" t="n">
        <v>1.1541</v>
      </c>
      <c r="D102" t="n">
        <v>0.83138</v>
      </c>
      <c r="E102" t="n">
        <v>2.07666</v>
      </c>
      <c r="F102" t="n">
        <v>0.84274</v>
      </c>
      <c r="G102" t="n">
        <v>0.77358</v>
      </c>
      <c r="H102" t="n">
        <v>0.82092</v>
      </c>
      <c r="I102" t="n">
        <v>0.49711</v>
      </c>
      <c r="J102" t="n">
        <v>1.24405</v>
      </c>
      <c r="K102" t="n">
        <v>0.93381</v>
      </c>
      <c r="L102" t="n">
        <v>2.30423</v>
      </c>
      <c r="M102" t="n">
        <v>0.000114476</v>
      </c>
      <c r="N102" t="n">
        <v>0.000114476</v>
      </c>
      <c r="O102" t="n">
        <v>0.000114476</v>
      </c>
    </row>
    <row r="103">
      <c r="A103" t="n">
        <v>102</v>
      </c>
      <c r="B103" t="n">
        <v>49943.4</v>
      </c>
      <c r="C103" t="n">
        <v>1.15557</v>
      </c>
      <c r="D103" t="n">
        <v>0.826</v>
      </c>
      <c r="E103" t="n">
        <v>2.08128</v>
      </c>
      <c r="F103" t="n">
        <v>0.84266</v>
      </c>
      <c r="G103" t="n">
        <v>0.77403</v>
      </c>
      <c r="H103" t="n">
        <v>0.82119</v>
      </c>
      <c r="I103" t="n">
        <v>0.49751</v>
      </c>
      <c r="J103" t="n">
        <v>1.24396</v>
      </c>
      <c r="K103" t="n">
        <v>0.93291</v>
      </c>
      <c r="L103" t="n">
        <v>2.30384</v>
      </c>
      <c r="M103" t="n">
        <v>0.000104978</v>
      </c>
      <c r="N103" t="n">
        <v>0.000104978</v>
      </c>
      <c r="O103" t="n">
        <v>0.000104978</v>
      </c>
    </row>
    <row r="104">
      <c r="A104" t="n">
        <v>103</v>
      </c>
      <c r="B104" t="n">
        <v>50434.9</v>
      </c>
      <c r="C104" t="n">
        <v>1.14863</v>
      </c>
      <c r="D104" t="n">
        <v>0.82415</v>
      </c>
      <c r="E104" t="n">
        <v>2.07337</v>
      </c>
      <c r="F104" t="n">
        <v>0.84272</v>
      </c>
      <c r="G104" t="n">
        <v>0.77468</v>
      </c>
      <c r="H104" t="n">
        <v>0.82134</v>
      </c>
      <c r="I104" t="n">
        <v>0.49703</v>
      </c>
      <c r="J104" t="n">
        <v>1.24371</v>
      </c>
      <c r="K104" t="n">
        <v>0.9317800000000001</v>
      </c>
      <c r="L104" t="n">
        <v>2.30279</v>
      </c>
      <c r="M104" t="n">
        <v>9.59277e-05</v>
      </c>
      <c r="N104" t="n">
        <v>9.59277e-05</v>
      </c>
      <c r="O104" t="n">
        <v>9.59277e-05</v>
      </c>
    </row>
    <row r="105">
      <c r="A105" t="n">
        <v>104</v>
      </c>
      <c r="B105" t="n">
        <v>50922.8</v>
      </c>
      <c r="C105" t="n">
        <v>1.14504</v>
      </c>
      <c r="D105" t="n">
        <v>0.82195</v>
      </c>
      <c r="E105" t="n">
        <v>2.06459</v>
      </c>
      <c r="F105" t="n">
        <v>0.84022</v>
      </c>
      <c r="G105" t="n">
        <v>0.77622</v>
      </c>
      <c r="H105" t="n">
        <v>0.82124</v>
      </c>
      <c r="I105" t="n">
        <v>0.49709</v>
      </c>
      <c r="J105" t="n">
        <v>1.24321</v>
      </c>
      <c r="K105" t="n">
        <v>0.93114</v>
      </c>
      <c r="L105" t="n">
        <v>2.30204</v>
      </c>
      <c r="M105" t="n">
        <v>8.733040000000001e-05</v>
      </c>
      <c r="N105" t="n">
        <v>8.733040000000001e-05</v>
      </c>
      <c r="O105" t="n">
        <v>8.733040000000001e-05</v>
      </c>
    </row>
    <row r="106">
      <c r="A106" t="n">
        <v>105</v>
      </c>
      <c r="B106" t="n">
        <v>51412.5</v>
      </c>
      <c r="C106" t="n">
        <v>1.1461</v>
      </c>
      <c r="D106" t="n">
        <v>0.83647</v>
      </c>
      <c r="E106" t="n">
        <v>2.07167</v>
      </c>
      <c r="F106" t="n">
        <v>0.83909</v>
      </c>
      <c r="G106" t="n">
        <v>0.7781</v>
      </c>
      <c r="H106" t="n">
        <v>0.82148</v>
      </c>
      <c r="I106" t="n">
        <v>0.49793</v>
      </c>
      <c r="J106" t="n">
        <v>1.24334</v>
      </c>
      <c r="K106" t="n">
        <v>0.93026</v>
      </c>
      <c r="L106" t="n">
        <v>2.30166</v>
      </c>
      <c r="M106" t="n">
        <v>7.91925e-05</v>
      </c>
      <c r="N106" t="n">
        <v>7.91925e-05</v>
      </c>
      <c r="O106" t="n">
        <v>7.91925e-05</v>
      </c>
    </row>
    <row r="107">
      <c r="A107" t="n">
        <v>106</v>
      </c>
      <c r="B107" t="n">
        <v>51918.5</v>
      </c>
      <c r="C107" t="n">
        <v>1.07736</v>
      </c>
      <c r="D107" t="n">
        <v>0.7322</v>
      </c>
      <c r="E107" t="n">
        <v>1.98061</v>
      </c>
      <c r="F107" t="n">
        <v>0.84053</v>
      </c>
      <c r="G107" t="n">
        <v>0.77718</v>
      </c>
      <c r="H107" t="n">
        <v>0.82242</v>
      </c>
      <c r="I107" t="n">
        <v>0.49817</v>
      </c>
      <c r="J107" t="n">
        <v>1.24355</v>
      </c>
      <c r="K107" t="n">
        <v>0.92993</v>
      </c>
      <c r="L107" t="n">
        <v>2.30172</v>
      </c>
      <c r="M107" t="n">
        <v>7.151940000000001e-05</v>
      </c>
      <c r="N107" t="n">
        <v>7.151940000000001e-05</v>
      </c>
      <c r="O107" t="n">
        <v>7.151940000000001e-05</v>
      </c>
    </row>
    <row r="108">
      <c r="A108" t="n">
        <v>107</v>
      </c>
      <c r="B108" t="n">
        <v>52409</v>
      </c>
      <c r="C108" t="n">
        <v>1.08045</v>
      </c>
      <c r="D108" t="n">
        <v>0.73766</v>
      </c>
      <c r="E108" t="n">
        <v>1.98804</v>
      </c>
      <c r="F108" t="n">
        <v>0.84071</v>
      </c>
      <c r="G108" t="n">
        <v>0.7772</v>
      </c>
      <c r="H108" t="n">
        <v>0.822</v>
      </c>
      <c r="I108" t="n">
        <v>0.49824</v>
      </c>
      <c r="J108" t="n">
        <v>1.24321</v>
      </c>
      <c r="K108" t="n">
        <v>0.9304</v>
      </c>
      <c r="L108" t="n">
        <v>2.30125</v>
      </c>
      <c r="M108" t="n">
        <v>6.431650000000001e-05</v>
      </c>
      <c r="N108" t="n">
        <v>6.431650000000001e-05</v>
      </c>
      <c r="O108" t="n">
        <v>6.431650000000001e-05</v>
      </c>
    </row>
    <row r="109">
      <c r="A109" t="n">
        <v>108</v>
      </c>
      <c r="B109" t="n">
        <v>52896.9</v>
      </c>
      <c r="C109" t="n">
        <v>1.07588</v>
      </c>
      <c r="D109" t="n">
        <v>0.73076</v>
      </c>
      <c r="E109" t="n">
        <v>1.98798</v>
      </c>
      <c r="F109" t="n">
        <v>0.84256</v>
      </c>
      <c r="G109" t="n">
        <v>0.77705</v>
      </c>
      <c r="H109" t="n">
        <v>0.82178</v>
      </c>
      <c r="I109" t="n">
        <v>0.49797</v>
      </c>
      <c r="J109" t="n">
        <v>1.24343</v>
      </c>
      <c r="K109" t="n">
        <v>0.93029</v>
      </c>
      <c r="L109" t="n">
        <v>2.30136</v>
      </c>
      <c r="M109" t="n">
        <v>5.75887e-05</v>
      </c>
      <c r="N109" t="n">
        <v>5.75887e-05</v>
      </c>
      <c r="O109" t="n">
        <v>5.75887e-05</v>
      </c>
    </row>
    <row r="110">
      <c r="A110" t="n">
        <v>109</v>
      </c>
      <c r="B110" t="n">
        <v>53386.4</v>
      </c>
      <c r="C110" t="n">
        <v>1.07642</v>
      </c>
      <c r="D110" t="n">
        <v>0.73584</v>
      </c>
      <c r="E110" t="n">
        <v>1.97427</v>
      </c>
      <c r="F110" t="n">
        <v>0.84249</v>
      </c>
      <c r="G110" t="n">
        <v>0.77813</v>
      </c>
      <c r="H110" t="n">
        <v>0.82167</v>
      </c>
      <c r="I110" t="n">
        <v>0.49835</v>
      </c>
      <c r="J110" t="n">
        <v>1.24364</v>
      </c>
      <c r="K110" t="n">
        <v>0.93015</v>
      </c>
      <c r="L110" t="n">
        <v>2.30158</v>
      </c>
      <c r="M110" t="n">
        <v>5.13405e-05</v>
      </c>
      <c r="N110" t="n">
        <v>5.13405e-05</v>
      </c>
      <c r="O110" t="n">
        <v>5.13405e-05</v>
      </c>
    </row>
    <row r="111">
      <c r="A111" t="n">
        <v>110</v>
      </c>
      <c r="B111" t="n">
        <v>53878.2</v>
      </c>
      <c r="C111" t="n">
        <v>1.0809</v>
      </c>
      <c r="D111" t="n">
        <v>0.73847</v>
      </c>
      <c r="E111" t="n">
        <v>1.99847</v>
      </c>
      <c r="F111" t="n">
        <v>0.84251</v>
      </c>
      <c r="G111" t="n">
        <v>0.7761</v>
      </c>
      <c r="H111" t="n">
        <v>0.82106</v>
      </c>
      <c r="I111" t="n">
        <v>0.4982</v>
      </c>
      <c r="J111" t="n">
        <v>1.24347</v>
      </c>
      <c r="K111" t="n">
        <v>0.93001</v>
      </c>
      <c r="L111" t="n">
        <v>2.30168</v>
      </c>
      <c r="M111" t="n">
        <v>4.55763e-05</v>
      </c>
      <c r="N111" t="n">
        <v>4.55763e-05</v>
      </c>
      <c r="O111" t="n">
        <v>4.55763e-05</v>
      </c>
    </row>
    <row r="112">
      <c r="A112" t="n">
        <v>111</v>
      </c>
      <c r="B112" t="n">
        <v>54367.2</v>
      </c>
      <c r="C112" t="n">
        <v>1.07868</v>
      </c>
      <c r="D112" t="n">
        <v>0.73652</v>
      </c>
      <c r="E112" t="n">
        <v>1.99076</v>
      </c>
      <c r="F112" t="n">
        <v>0.8426900000000001</v>
      </c>
      <c r="G112" t="n">
        <v>0.77628</v>
      </c>
      <c r="H112" t="n">
        <v>0.82093</v>
      </c>
      <c r="I112" t="n">
        <v>0.4985</v>
      </c>
      <c r="J112" t="n">
        <v>1.24315</v>
      </c>
      <c r="K112" t="n">
        <v>0.93018</v>
      </c>
      <c r="L112" t="n">
        <v>2.30146</v>
      </c>
      <c r="M112" t="n">
        <v>4.03001e-05</v>
      </c>
      <c r="N112" t="n">
        <v>4.03001e-05</v>
      </c>
      <c r="O112" t="n">
        <v>4.03001e-05</v>
      </c>
    </row>
    <row r="113">
      <c r="A113" t="n">
        <v>112</v>
      </c>
      <c r="B113" t="n">
        <v>54853.8</v>
      </c>
      <c r="C113" t="n">
        <v>1.06213</v>
      </c>
      <c r="D113" t="n">
        <v>0.72624</v>
      </c>
      <c r="E113" t="n">
        <v>1.96278</v>
      </c>
      <c r="F113" t="n">
        <v>0.84459</v>
      </c>
      <c r="G113" t="n">
        <v>0.77444</v>
      </c>
      <c r="H113" t="n">
        <v>0.82137</v>
      </c>
      <c r="I113" t="n">
        <v>0.49896</v>
      </c>
      <c r="J113" t="n">
        <v>1.24296</v>
      </c>
      <c r="K113" t="n">
        <v>0.93068</v>
      </c>
      <c r="L113" t="n">
        <v>2.30137</v>
      </c>
      <c r="M113" t="n">
        <v>3.55153e-05</v>
      </c>
      <c r="N113" t="n">
        <v>3.55153e-05</v>
      </c>
      <c r="O113" t="n">
        <v>3.55153e-05</v>
      </c>
    </row>
    <row r="114">
      <c r="A114" t="n">
        <v>113</v>
      </c>
      <c r="B114" t="n">
        <v>55337.4</v>
      </c>
      <c r="C114" t="n">
        <v>1.08242</v>
      </c>
      <c r="D114" t="n">
        <v>0.7363</v>
      </c>
      <c r="E114" t="n">
        <v>1.99171</v>
      </c>
      <c r="F114" t="n">
        <v>0.84494</v>
      </c>
      <c r="G114" t="n">
        <v>0.7735300000000001</v>
      </c>
      <c r="H114" t="n">
        <v>0.82153</v>
      </c>
      <c r="I114" t="n">
        <v>0.49869</v>
      </c>
      <c r="J114" t="n">
        <v>1.24273</v>
      </c>
      <c r="K114" t="n">
        <v>0.93089</v>
      </c>
      <c r="L114" t="n">
        <v>2.30123</v>
      </c>
      <c r="M114" t="n">
        <v>3.12254e-05</v>
      </c>
      <c r="N114" t="n">
        <v>3.12254e-05</v>
      </c>
      <c r="O114" t="n">
        <v>3.12254e-05</v>
      </c>
    </row>
    <row r="115">
      <c r="A115" t="n">
        <v>114</v>
      </c>
      <c r="B115" t="n">
        <v>55823.1</v>
      </c>
      <c r="C115" t="n">
        <v>1.06676</v>
      </c>
      <c r="D115" t="n">
        <v>0.72699</v>
      </c>
      <c r="E115" t="n">
        <v>1.97535</v>
      </c>
      <c r="F115" t="n">
        <v>0.84492</v>
      </c>
      <c r="G115" t="n">
        <v>0.77335</v>
      </c>
      <c r="H115" t="n">
        <v>0.82077</v>
      </c>
      <c r="I115" t="n">
        <v>0.49847</v>
      </c>
      <c r="J115" t="n">
        <v>1.2427</v>
      </c>
      <c r="K115" t="n">
        <v>0.93166</v>
      </c>
      <c r="L115" t="n">
        <v>2.30137</v>
      </c>
      <c r="M115" t="n">
        <v>2.74332e-05</v>
      </c>
      <c r="N115" t="n">
        <v>2.74332e-05</v>
      </c>
      <c r="O115" t="n">
        <v>2.74332e-05</v>
      </c>
    </row>
    <row r="116">
      <c r="A116" t="n">
        <v>115</v>
      </c>
      <c r="B116" t="n">
        <v>56309.7</v>
      </c>
      <c r="C116" t="n">
        <v>1.06265</v>
      </c>
      <c r="D116" t="n">
        <v>0.71829</v>
      </c>
      <c r="E116" t="n">
        <v>1.96706</v>
      </c>
      <c r="F116" t="n">
        <v>0.84531</v>
      </c>
      <c r="G116" t="n">
        <v>0.77279</v>
      </c>
      <c r="H116" t="n">
        <v>0.82061</v>
      </c>
      <c r="I116" t="n">
        <v>0.49902</v>
      </c>
      <c r="J116" t="n">
        <v>1.24234</v>
      </c>
      <c r="K116" t="n">
        <v>0.93219</v>
      </c>
      <c r="L116" t="n">
        <v>2.30101</v>
      </c>
      <c r="M116" t="n">
        <v>2.41414e-05</v>
      </c>
      <c r="N116" t="n">
        <v>2.41414e-05</v>
      </c>
      <c r="O116" t="n">
        <v>2.41414e-05</v>
      </c>
    </row>
    <row r="117">
      <c r="A117" t="n">
        <v>116</v>
      </c>
      <c r="B117" t="n">
        <v>56798.6</v>
      </c>
      <c r="C117" t="n">
        <v>1.07254</v>
      </c>
      <c r="D117" t="n">
        <v>0.73297</v>
      </c>
      <c r="E117" t="n">
        <v>1.99515</v>
      </c>
      <c r="F117" t="n">
        <v>0.8454199999999999</v>
      </c>
      <c r="G117" t="n">
        <v>0.77296</v>
      </c>
      <c r="H117" t="n">
        <v>0.82139</v>
      </c>
      <c r="I117" t="n">
        <v>0.49931</v>
      </c>
      <c r="J117" t="n">
        <v>1.24226</v>
      </c>
      <c r="K117" t="n">
        <v>0.93197</v>
      </c>
      <c r="L117" t="n">
        <v>2.3011</v>
      </c>
      <c r="M117" t="n">
        <v>2.13522e-05</v>
      </c>
      <c r="N117" t="n">
        <v>2.13522e-05</v>
      </c>
      <c r="O117" t="n">
        <v>2.13522e-05</v>
      </c>
    </row>
    <row r="118">
      <c r="A118" t="n">
        <v>117</v>
      </c>
      <c r="B118" t="n">
        <v>57284.8</v>
      </c>
      <c r="C118" t="n">
        <v>1.07918</v>
      </c>
      <c r="D118" t="n">
        <v>0.73127</v>
      </c>
      <c r="E118" t="n">
        <v>1.99865</v>
      </c>
      <c r="F118" t="n">
        <v>0.8436</v>
      </c>
      <c r="G118" t="n">
        <v>0.77401</v>
      </c>
      <c r="H118" t="n">
        <v>0.82137</v>
      </c>
      <c r="I118" t="n">
        <v>0.4991</v>
      </c>
      <c r="J118" t="n">
        <v>1.24207</v>
      </c>
      <c r="K118" t="n">
        <v>0.93238</v>
      </c>
      <c r="L118" t="n">
        <v>2.3013</v>
      </c>
      <c r="M118" t="n">
        <v>1.90675e-05</v>
      </c>
      <c r="N118" t="n">
        <v>1.90675e-05</v>
      </c>
      <c r="O118" t="n">
        <v>1.90675e-05</v>
      </c>
    </row>
    <row r="119">
      <c r="A119" t="n">
        <v>118</v>
      </c>
      <c r="B119" t="n">
        <v>57776.7</v>
      </c>
      <c r="C119" t="n">
        <v>1.06668</v>
      </c>
      <c r="D119" t="n">
        <v>0.7164700000000001</v>
      </c>
      <c r="E119" t="n">
        <v>1.9744</v>
      </c>
      <c r="F119" t="n">
        <v>0.84362</v>
      </c>
      <c r="G119" t="n">
        <v>0.77359</v>
      </c>
      <c r="H119" t="n">
        <v>0.82154</v>
      </c>
      <c r="I119" t="n">
        <v>0.49927</v>
      </c>
      <c r="J119" t="n">
        <v>1.24207</v>
      </c>
      <c r="K119" t="n">
        <v>0.9323</v>
      </c>
      <c r="L119" t="n">
        <v>2.30158</v>
      </c>
      <c r="M119" t="n">
        <v>1.72889e-05</v>
      </c>
      <c r="N119" t="n">
        <v>1.72889e-05</v>
      </c>
      <c r="O119" t="n">
        <v>1.72889e-05</v>
      </c>
    </row>
    <row r="120">
      <c r="A120" t="n">
        <v>119</v>
      </c>
      <c r="B120" t="n">
        <v>58258.4</v>
      </c>
      <c r="C120" t="n">
        <v>1.06152</v>
      </c>
      <c r="D120" t="n">
        <v>0.71074</v>
      </c>
      <c r="E120" t="n">
        <v>1.95261</v>
      </c>
      <c r="F120" t="n">
        <v>0.84609</v>
      </c>
      <c r="G120" t="n">
        <v>0.7724299999999999</v>
      </c>
      <c r="H120" t="n">
        <v>0.82152</v>
      </c>
      <c r="I120" t="n">
        <v>0.49971</v>
      </c>
      <c r="J120" t="n">
        <v>1.24206</v>
      </c>
      <c r="K120" t="n">
        <v>0.9321</v>
      </c>
      <c r="L120" t="n">
        <v>2.30162</v>
      </c>
      <c r="M120" t="n">
        <v>1.60176e-05</v>
      </c>
      <c r="N120" t="n">
        <v>1.60176e-05</v>
      </c>
      <c r="O120" t="n">
        <v>1.60176e-05</v>
      </c>
    </row>
    <row r="121">
      <c r="A121" t="n">
        <v>120</v>
      </c>
      <c r="B121" t="n">
        <v>58746.1</v>
      </c>
      <c r="C121" t="n">
        <v>1.06992</v>
      </c>
      <c r="D121" t="n">
        <v>0.72076</v>
      </c>
      <c r="E121" t="n">
        <v>1.96907</v>
      </c>
      <c r="F121" t="n">
        <v>0.84692</v>
      </c>
      <c r="G121" t="n">
        <v>0.7719200000000001</v>
      </c>
      <c r="H121" t="n">
        <v>0.8214900000000001</v>
      </c>
      <c r="I121" t="n">
        <v>0.5001100000000001</v>
      </c>
      <c r="J121" t="n">
        <v>1.24216</v>
      </c>
      <c r="K121" t="n">
        <v>0.93225</v>
      </c>
      <c r="L121" t="n">
        <v>2.30217</v>
      </c>
      <c r="M121" t="n">
        <v>1.52544e-05</v>
      </c>
      <c r="N121" t="n">
        <v>1.52544e-05</v>
      </c>
      <c r="O121" t="n">
        <v>1.52544e-05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>
        <f>== MODEL ===</f>
        <v/>
      </c>
      <c r="B2" t="inlineStr"/>
    </row>
    <row r="3">
      <c r="A3" t="inlineStr">
        <is>
          <t>model</t>
        </is>
      </c>
      <c r="B3" t="inlineStr">
        <is>
          <t>yolo11l.pt</t>
        </is>
      </c>
    </row>
    <row r="4">
      <c r="A4" t="inlineStr"/>
      <c r="B4" t="inlineStr"/>
    </row>
    <row r="5">
      <c r="A5">
        <f>== IMGSZ ===</f>
        <v/>
      </c>
      <c r="B5" t="inlineStr"/>
    </row>
    <row r="6">
      <c r="A6" t="inlineStr">
        <is>
          <t>imgsz</t>
        </is>
      </c>
      <c r="B6" t="inlineStr">
        <is>
          <t>1024</t>
        </is>
      </c>
    </row>
    <row r="7">
      <c r="A7" t="inlineStr"/>
      <c r="B7" t="inlineStr"/>
    </row>
    <row r="8">
      <c r="A8">
        <f>== BATCH ===</f>
        <v/>
      </c>
      <c r="B8" t="inlineStr"/>
    </row>
    <row r="9">
      <c r="A9" t="inlineStr">
        <is>
          <t>batch</t>
        </is>
      </c>
      <c r="B9" t="inlineStr">
        <is>
          <t>2</t>
        </is>
      </c>
    </row>
    <row r="10">
      <c r="A10" t="inlineStr"/>
      <c r="B10" t="inlineStr"/>
    </row>
    <row r="11">
      <c r="A11">
        <f>== EPOCHS ===</f>
        <v/>
      </c>
      <c r="B11" t="inlineStr"/>
    </row>
    <row r="12">
      <c r="A12" t="inlineStr">
        <is>
          <t>epochs</t>
        </is>
      </c>
      <c r="B12" t="inlineStr">
        <is>
          <t>120</t>
        </is>
      </c>
    </row>
    <row r="13">
      <c r="A13" t="inlineStr"/>
      <c r="B13" t="inlineStr"/>
    </row>
    <row r="14">
      <c r="A14">
        <f>== PRETRAINED ===</f>
        <v/>
      </c>
      <c r="B14" t="inlineStr"/>
    </row>
    <row r="15">
      <c r="A15" t="inlineStr">
        <is>
          <t>pretrained</t>
        </is>
      </c>
      <c r="B15" t="inlineStr">
        <is>
          <t>True</t>
        </is>
      </c>
    </row>
    <row r="16">
      <c r="A16" t="inlineStr"/>
      <c r="B16" t="inlineStr"/>
    </row>
    <row r="17">
      <c r="A17">
        <f>== OPTIMIZER ===</f>
        <v/>
      </c>
      <c r="B17" t="inlineStr"/>
    </row>
    <row r="18">
      <c r="A18" t="inlineStr">
        <is>
          <t>optimizer</t>
        </is>
      </c>
      <c r="B18" t="inlineStr">
        <is>
          <t>AdamW</t>
        </is>
      </c>
    </row>
    <row r="19">
      <c r="A19" t="inlineStr"/>
      <c r="B19" t="inlineStr"/>
    </row>
    <row r="20">
      <c r="A20">
        <f>== DETERMINISTIC ===</f>
        <v/>
      </c>
      <c r="B20" t="inlineStr"/>
    </row>
    <row r="21">
      <c r="A21" t="inlineStr">
        <is>
          <t>deterministic</t>
        </is>
      </c>
      <c r="B21" t="inlineStr">
        <is>
          <t>False</t>
        </is>
      </c>
    </row>
    <row r="22">
      <c r="A22" t="inlineStr"/>
      <c r="B22" t="inlineStr"/>
    </row>
    <row r="23">
      <c r="A23">
        <f>== LR0 ===</f>
        <v/>
      </c>
      <c r="B23" t="inlineStr"/>
    </row>
    <row r="24">
      <c r="A24" t="inlineStr">
        <is>
          <t>lr0</t>
        </is>
      </c>
      <c r="B24" t="inlineStr">
        <is>
          <t>0.0015</t>
        </is>
      </c>
    </row>
    <row r="25">
      <c r="A25" t="inlineStr"/>
      <c r="B25" t="inlineStr"/>
    </row>
    <row r="26">
      <c r="A26">
        <f>== LRF ===</f>
        <v/>
      </c>
      <c r="B26" t="inlineStr"/>
    </row>
    <row r="27">
      <c r="A27" t="inlineStr">
        <is>
          <t>lrf</t>
        </is>
      </c>
      <c r="B27" t="inlineStr">
        <is>
          <t>0.01</t>
        </is>
      </c>
    </row>
    <row r="28">
      <c r="A28" t="inlineStr"/>
      <c r="B28" t="inlineStr"/>
    </row>
    <row r="29">
      <c r="A29">
        <f>== MOMENTUM ===</f>
        <v/>
      </c>
      <c r="B29" t="inlineStr"/>
    </row>
    <row r="30">
      <c r="A30" t="inlineStr">
        <is>
          <t>momentum</t>
        </is>
      </c>
      <c r="B30" t="inlineStr">
        <is>
          <t>0.94</t>
        </is>
      </c>
    </row>
    <row r="31">
      <c r="A31" t="inlineStr"/>
      <c r="B31" t="inlineStr"/>
    </row>
    <row r="32">
      <c r="A32">
        <f>== WEIGHT_DECAY ===</f>
        <v/>
      </c>
      <c r="B32" t="inlineStr"/>
    </row>
    <row r="33">
      <c r="A33" t="inlineStr">
        <is>
          <t>weight_decay</t>
        </is>
      </c>
      <c r="B33" t="inlineStr">
        <is>
          <t>0.0007</t>
        </is>
      </c>
    </row>
    <row r="34">
      <c r="A34" t="inlineStr"/>
      <c r="B34" t="inlineStr"/>
    </row>
    <row r="35">
      <c r="A35">
        <f>== WARMUP_EPOCHS ===</f>
        <v/>
      </c>
      <c r="B35" t="inlineStr"/>
    </row>
    <row r="36">
      <c r="A36" t="inlineStr">
        <is>
          <t>warmup_epochs</t>
        </is>
      </c>
      <c r="B36" t="inlineStr">
        <is>
          <t>5</t>
        </is>
      </c>
    </row>
    <row r="37">
      <c r="A37" t="inlineStr"/>
      <c r="B37" t="inlineStr"/>
    </row>
    <row r="38">
      <c r="A38">
        <f>== WARMUP_MOMENTUM ===</f>
        <v/>
      </c>
      <c r="B38" t="inlineStr"/>
    </row>
    <row r="39">
      <c r="A39" t="inlineStr">
        <is>
          <t>warmup_momentum</t>
        </is>
      </c>
      <c r="B39" t="inlineStr">
        <is>
          <t>0.85</t>
        </is>
      </c>
    </row>
    <row r="40">
      <c r="A40" t="inlineStr"/>
      <c r="B40" t="inlineStr"/>
    </row>
    <row r="41">
      <c r="A41">
        <f>== WARMUP_BIAS_LR ===</f>
        <v/>
      </c>
      <c r="B41" t="inlineStr"/>
    </row>
    <row r="42">
      <c r="A42" t="inlineStr">
        <is>
          <t>warmup_bias_lr</t>
        </is>
      </c>
      <c r="B42" t="inlineStr">
        <is>
          <t>0.1</t>
        </is>
      </c>
    </row>
    <row r="43">
      <c r="A43" t="inlineStr"/>
      <c r="B43" t="inlineStr"/>
    </row>
    <row r="44">
      <c r="A44">
        <f>== BOX ===</f>
        <v/>
      </c>
      <c r="B44" t="inlineStr"/>
    </row>
    <row r="45">
      <c r="A45" t="inlineStr">
        <is>
          <t>box</t>
        </is>
      </c>
      <c r="B45" t="inlineStr">
        <is>
          <t>7.5</t>
        </is>
      </c>
    </row>
    <row r="46">
      <c r="A46" t="inlineStr"/>
      <c r="B46" t="inlineStr"/>
    </row>
    <row r="47">
      <c r="A47">
        <f>== CLS ===</f>
        <v/>
      </c>
      <c r="B47" t="inlineStr"/>
    </row>
    <row r="48">
      <c r="A48" t="inlineStr">
        <is>
          <t>cls</t>
        </is>
      </c>
      <c r="B48" t="inlineStr">
        <is>
          <t>0.6</t>
        </is>
      </c>
    </row>
    <row r="49">
      <c r="A49" t="inlineStr"/>
      <c r="B49" t="inlineStr"/>
    </row>
    <row r="50">
      <c r="A50">
        <f>== DFL ===</f>
        <v/>
      </c>
      <c r="B50" t="inlineStr"/>
    </row>
    <row r="51">
      <c r="A51" t="inlineStr">
        <is>
          <t>dfl</t>
        </is>
      </c>
      <c r="B51" t="inlineStr">
        <is>
          <t>2.5</t>
        </is>
      </c>
    </row>
    <row r="52">
      <c r="A52" t="inlineStr"/>
      <c r="B52" t="inlineStr"/>
    </row>
    <row r="53">
      <c r="A53">
        <f>== LABEL_SMOOTHING ===</f>
        <v/>
      </c>
      <c r="B53" t="inlineStr"/>
    </row>
    <row r="54">
      <c r="A54" t="inlineStr">
        <is>
          <t>label_smoothing</t>
        </is>
      </c>
      <c r="B54" t="inlineStr">
        <is>
          <t>0.01</t>
        </is>
      </c>
    </row>
    <row r="55">
      <c r="A55" t="inlineStr"/>
      <c r="B55" t="inlineStr"/>
    </row>
    <row r="56">
      <c r="A56">
        <f>== HSV_H ===</f>
        <v/>
      </c>
      <c r="B56" t="inlineStr"/>
    </row>
    <row r="57">
      <c r="A57" t="inlineStr">
        <is>
          <t>hsv_h</t>
        </is>
      </c>
      <c r="B57" t="inlineStr">
        <is>
          <t>0.015</t>
        </is>
      </c>
    </row>
    <row r="58">
      <c r="A58" t="inlineStr"/>
      <c r="B58" t="inlineStr"/>
    </row>
    <row r="59">
      <c r="A59">
        <f>== HSV_S ===</f>
        <v/>
      </c>
      <c r="B59" t="inlineStr"/>
    </row>
    <row r="60">
      <c r="A60" t="inlineStr">
        <is>
          <t>hsv_s</t>
        </is>
      </c>
      <c r="B60" t="inlineStr">
        <is>
          <t>0.45</t>
        </is>
      </c>
    </row>
    <row r="61">
      <c r="A61" t="inlineStr"/>
      <c r="B61" t="inlineStr"/>
    </row>
    <row r="62">
      <c r="A62">
        <f>== HSV_V ===</f>
        <v/>
      </c>
      <c r="B62" t="inlineStr"/>
    </row>
    <row r="63">
      <c r="A63" t="inlineStr">
        <is>
          <t>hsv_v</t>
        </is>
      </c>
      <c r="B63" t="inlineStr">
        <is>
          <t>0.35</t>
        </is>
      </c>
    </row>
    <row r="64">
      <c r="A64" t="inlineStr"/>
      <c r="B64" t="inlineStr"/>
    </row>
    <row r="65">
      <c r="A65">
        <f>== DEGREES ===</f>
        <v/>
      </c>
      <c r="B65" t="inlineStr"/>
    </row>
    <row r="66">
      <c r="A66" t="inlineStr">
        <is>
          <t>degrees</t>
        </is>
      </c>
      <c r="B66" t="inlineStr">
        <is>
          <t>2.0</t>
        </is>
      </c>
    </row>
    <row r="67">
      <c r="A67" t="inlineStr"/>
      <c r="B67" t="inlineStr"/>
    </row>
    <row r="68">
      <c r="A68">
        <f>== TRANSLATE ===</f>
        <v/>
      </c>
      <c r="B68" t="inlineStr"/>
    </row>
    <row r="69">
      <c r="A69" t="inlineStr">
        <is>
          <t>translate</t>
        </is>
      </c>
      <c r="B69" t="inlineStr">
        <is>
          <t>0.1</t>
        </is>
      </c>
    </row>
    <row r="70">
      <c r="A70" t="inlineStr"/>
      <c r="B70" t="inlineStr"/>
    </row>
    <row r="71">
      <c r="A71">
        <f>== SCALE ===</f>
        <v/>
      </c>
      <c r="B71" t="inlineStr"/>
    </row>
    <row r="72">
      <c r="A72" t="inlineStr">
        <is>
          <t>scale</t>
        </is>
      </c>
      <c r="B72" t="inlineStr">
        <is>
          <t>0.4</t>
        </is>
      </c>
    </row>
    <row r="73">
      <c r="A73" t="inlineStr"/>
      <c r="B73" t="inlineStr"/>
    </row>
    <row r="74">
      <c r="A74">
        <f>== SHEAR ===</f>
        <v/>
      </c>
      <c r="B74" t="inlineStr"/>
    </row>
    <row r="75">
      <c r="A75" t="inlineStr">
        <is>
          <t>shear</t>
        </is>
      </c>
      <c r="B75" t="inlineStr">
        <is>
          <t>1.0</t>
        </is>
      </c>
    </row>
    <row r="76">
      <c r="A76" t="inlineStr"/>
      <c r="B76" t="inlineStr"/>
    </row>
    <row r="77">
      <c r="A77">
        <f>== PERSPECTIVE ===</f>
        <v/>
      </c>
      <c r="B77" t="inlineStr"/>
    </row>
    <row r="78">
      <c r="A78" t="inlineStr">
        <is>
          <t>perspective</t>
        </is>
      </c>
      <c r="B78" t="inlineStr">
        <is>
          <t>0.0</t>
        </is>
      </c>
    </row>
    <row r="79">
      <c r="A79" t="inlineStr"/>
      <c r="B79" t="inlineStr"/>
    </row>
    <row r="80">
      <c r="A80">
        <f>== FLIPUD ===</f>
        <v/>
      </c>
      <c r="B80" t="inlineStr"/>
    </row>
    <row r="81">
      <c r="A81" t="inlineStr">
        <is>
          <t>flipud</t>
        </is>
      </c>
      <c r="B81" t="inlineStr">
        <is>
          <t>0.0</t>
        </is>
      </c>
    </row>
    <row r="82">
      <c r="A82" t="inlineStr"/>
      <c r="B82" t="inlineStr"/>
    </row>
    <row r="83">
      <c r="A83">
        <f>== FLIPLR ===</f>
        <v/>
      </c>
      <c r="B83" t="inlineStr"/>
    </row>
    <row r="84">
      <c r="A84" t="inlineStr">
        <is>
          <t>fliplr</t>
        </is>
      </c>
      <c r="B84" t="inlineStr">
        <is>
          <t>0.5</t>
        </is>
      </c>
    </row>
    <row r="85">
      <c r="A85" t="inlineStr"/>
      <c r="B85" t="inlineStr"/>
    </row>
    <row r="86">
      <c r="A86">
        <f>== MOSAIC ===</f>
        <v/>
      </c>
      <c r="B86" t="inlineStr"/>
    </row>
    <row r="87">
      <c r="A87" t="inlineStr">
        <is>
          <t>mosaic</t>
        </is>
      </c>
      <c r="B87" t="inlineStr">
        <is>
          <t>0.6</t>
        </is>
      </c>
    </row>
    <row r="88">
      <c r="A88" t="inlineStr"/>
      <c r="B88" t="inlineStr"/>
    </row>
    <row r="89">
      <c r="A89">
        <f>== MIXUP ===</f>
        <v/>
      </c>
      <c r="B89" t="inlineStr"/>
    </row>
    <row r="90">
      <c r="A90" t="inlineStr">
        <is>
          <t>mixup</t>
        </is>
      </c>
      <c r="B90" t="inlineStr">
        <is>
          <t>0.0</t>
        </is>
      </c>
    </row>
    <row r="91">
      <c r="A91" t="inlineStr"/>
      <c r="B91" t="inlineStr"/>
    </row>
    <row r="92">
      <c r="A92">
        <f>== COPY_PASTE ===</f>
        <v/>
      </c>
      <c r="B92" t="inlineStr"/>
    </row>
    <row r="93">
      <c r="A93" t="inlineStr">
        <is>
          <t>copy_paste</t>
        </is>
      </c>
      <c r="B93" t="inlineStr">
        <is>
          <t>0.2</t>
        </is>
      </c>
    </row>
    <row r="94">
      <c r="A94" t="inlineStr"/>
      <c r="B94" t="inlineStr"/>
    </row>
    <row r="95">
      <c r="A95">
        <f>== PATIENCE ===</f>
        <v/>
      </c>
      <c r="B95" t="inlineStr"/>
    </row>
    <row r="96">
      <c r="A96" t="inlineStr">
        <is>
          <t>patience</t>
        </is>
      </c>
      <c r="B96" t="inlineStr">
        <is>
          <t>30</t>
        </is>
      </c>
    </row>
    <row r="97">
      <c r="A97" t="inlineStr"/>
      <c r="B97" t="inlineStr"/>
    </row>
    <row r="98">
      <c r="A98">
        <f>== SAVE_PERIOD ===</f>
        <v/>
      </c>
      <c r="B98" t="inlineStr"/>
    </row>
    <row r="99">
      <c r="A99" t="inlineStr">
        <is>
          <t>save_period</t>
        </is>
      </c>
      <c r="B99" t="inlineStr">
        <is>
          <t>5</t>
        </is>
      </c>
    </row>
    <row r="100">
      <c r="A100" t="inlineStr"/>
      <c r="B100" t="inlineStr"/>
    </row>
    <row r="101">
      <c r="A101">
        <f>== CACHE ===</f>
        <v/>
      </c>
      <c r="B101" t="inlineStr"/>
    </row>
    <row r="102">
      <c r="A102" t="inlineStr">
        <is>
          <t>cache</t>
        </is>
      </c>
      <c r="B102" t="inlineStr">
        <is>
          <t>False</t>
        </is>
      </c>
    </row>
    <row r="103">
      <c r="A103" t="inlineStr"/>
      <c r="B103" t="inlineStr"/>
    </row>
    <row r="104">
      <c r="A104">
        <f>== RECT ===</f>
        <v/>
      </c>
      <c r="B104" t="inlineStr"/>
    </row>
    <row r="105">
      <c r="A105" t="inlineStr">
        <is>
          <t>rect</t>
        </is>
      </c>
      <c r="B105" t="inlineStr">
        <is>
          <t>False</t>
        </is>
      </c>
    </row>
    <row r="106">
      <c r="A106" t="inlineStr"/>
      <c r="B106" t="inlineStr"/>
    </row>
    <row r="107">
      <c r="A107">
        <f>== COS_LR ===</f>
        <v/>
      </c>
      <c r="B107" t="inlineStr"/>
    </row>
    <row r="108">
      <c r="A108" t="inlineStr">
        <is>
          <t>cos_lr</t>
        </is>
      </c>
      <c r="B108" t="inlineStr">
        <is>
          <t>True</t>
        </is>
      </c>
    </row>
    <row r="109">
      <c r="A109" t="inlineStr"/>
      <c r="B109" t="inlineStr"/>
    </row>
    <row r="110">
      <c r="A110">
        <f>== CLOSE_MOSAIC ===</f>
        <v/>
      </c>
      <c r="B110" t="inlineStr"/>
    </row>
    <row r="111">
      <c r="A111" t="inlineStr">
        <is>
          <t>close_mosaic</t>
        </is>
      </c>
      <c r="B111" t="inlineStr">
        <is>
          <t>15</t>
        </is>
      </c>
    </row>
    <row r="112">
      <c r="A112" t="inlineStr"/>
      <c r="B112" t="inlineStr"/>
    </row>
    <row r="113">
      <c r="A113">
        <f>== MULTI_SCALE ===</f>
        <v/>
      </c>
      <c r="B113" t="inlineStr"/>
    </row>
    <row r="114">
      <c r="A114" t="inlineStr">
        <is>
          <t>multi_scale</t>
        </is>
      </c>
      <c r="B114" t="inlineStr">
        <is>
          <t>True</t>
        </is>
      </c>
    </row>
    <row r="115">
      <c r="A115" t="inlineStr"/>
      <c r="B115" t="inlineStr"/>
    </row>
    <row r="116">
      <c r="A116">
        <f>== DROPOUT ===</f>
        <v/>
      </c>
      <c r="B116" t="inlineStr"/>
    </row>
    <row r="117">
      <c r="A117" t="inlineStr">
        <is>
          <t>dropout</t>
        </is>
      </c>
      <c r="B117" t="inlineStr">
        <is>
          <t>0.05</t>
        </is>
      </c>
    </row>
    <row r="118">
      <c r="A118" t="inlineStr"/>
      <c r="B118" t="inlineStr"/>
    </row>
    <row r="119">
      <c r="A119">
        <f>== VAL ===</f>
        <v/>
      </c>
      <c r="B119" t="inlineStr"/>
    </row>
    <row r="120">
      <c r="A120" t="inlineStr">
        <is>
          <t>val</t>
        </is>
      </c>
      <c r="B120" t="inlineStr">
        <is>
          <t>True</t>
        </is>
      </c>
    </row>
    <row r="121">
      <c r="A121" t="inlineStr"/>
      <c r="B121" t="inlineStr"/>
    </row>
    <row r="122">
      <c r="A122">
        <f>== CONF ===</f>
        <v/>
      </c>
      <c r="B122" t="inlineStr"/>
    </row>
    <row r="123">
      <c r="A123" t="inlineStr">
        <is>
          <t>conf</t>
        </is>
      </c>
      <c r="B123" t="inlineStr">
        <is>
          <t>0.005</t>
        </is>
      </c>
    </row>
    <row r="124">
      <c r="A124" t="inlineStr"/>
      <c r="B124" t="inlineStr"/>
    </row>
    <row r="125">
      <c r="A125">
        <f>== IOU ===</f>
        <v/>
      </c>
      <c r="B125" t="inlineStr"/>
    </row>
    <row r="126">
      <c r="A126" t="inlineStr">
        <is>
          <t>iou</t>
        </is>
      </c>
      <c r="B126" t="inlineStr">
        <is>
          <t>0.65</t>
        </is>
      </c>
    </row>
    <row r="127">
      <c r="A127" t="inlineStr"/>
      <c r="B127" t="inlineStr"/>
    </row>
    <row r="128">
      <c r="A128">
        <f>== MAX_DET ===</f>
        <v/>
      </c>
      <c r="B128" t="inlineStr"/>
    </row>
    <row r="129">
      <c r="A129" t="inlineStr">
        <is>
          <t>max_det</t>
        </is>
      </c>
      <c r="B129" t="inlineStr">
        <is>
          <t>1000</t>
        </is>
      </c>
    </row>
    <row r="130">
      <c r="A130" t="inlineStr"/>
      <c r="B130" t="inlineStr"/>
    </row>
    <row r="131">
      <c r="A131">
        <f>== WORKERS ===</f>
        <v/>
      </c>
      <c r="B131" t="inlineStr"/>
    </row>
    <row r="132">
      <c r="A132" t="inlineStr">
        <is>
          <t>workers</t>
        </is>
      </c>
      <c r="B132" t="inlineStr">
        <is>
          <t>8</t>
        </is>
      </c>
    </row>
    <row r="133">
      <c r="A133" t="inlineStr"/>
      <c r="B133" t="inlineStr"/>
    </row>
    <row r="134">
      <c r="A134">
        <f>== PROFILE ===</f>
        <v/>
      </c>
      <c r="B134" t="inlineStr"/>
    </row>
    <row r="135">
      <c r="A135" t="inlineStr">
        <is>
          <t>profile</t>
        </is>
      </c>
      <c r="B135" t="inlineStr">
        <is>
          <t>False</t>
        </is>
      </c>
    </row>
    <row r="136">
      <c r="A136" t="inlineStr"/>
      <c r="B136" t="inlineStr"/>
    </row>
    <row r="137">
      <c r="A137">
        <f>== FRACTION ===</f>
        <v/>
      </c>
      <c r="B137" t="inlineStr"/>
    </row>
    <row r="138">
      <c r="A138" t="inlineStr">
        <is>
          <t>fraction</t>
        </is>
      </c>
      <c r="B138" t="inlineStr">
        <is>
          <t>1.0</t>
        </is>
      </c>
    </row>
    <row r="139">
      <c r="A139" t="inlineStr"/>
      <c r="B139" t="inlineStr"/>
    </row>
    <row r="140">
      <c r="A140">
        <f>== AMP ===</f>
        <v/>
      </c>
      <c r="B140" t="inlineStr"/>
    </row>
    <row r="141">
      <c r="A141" t="inlineStr">
        <is>
          <t>amp</t>
        </is>
      </c>
      <c r="B141" t="inlineStr">
        <is>
          <t>True</t>
        </is>
      </c>
    </row>
    <row r="142">
      <c r="A142" t="inlineStr"/>
      <c r="B142" t="inlineStr"/>
    </row>
    <row r="143">
      <c r="A143">
        <f>== PROJECT_NAME ===</f>
        <v/>
      </c>
      <c r="B143" t="inlineStr"/>
    </row>
    <row r="144">
      <c r="A144" t="inlineStr">
        <is>
          <t>project_name</t>
        </is>
      </c>
      <c r="B144" t="inlineStr">
        <is>
          <t>player_ball_detector</t>
        </is>
      </c>
    </row>
    <row r="145">
      <c r="A145" t="inlineStr"/>
      <c r="B145" t="inlineStr"/>
    </row>
    <row r="146">
      <c r="A146">
        <f>== EXIST_OK ===</f>
        <v/>
      </c>
      <c r="B146" t="inlineStr"/>
    </row>
    <row r="147">
      <c r="A147" t="inlineStr">
        <is>
          <t>exist_ok</t>
        </is>
      </c>
      <c r="B147" t="inlineStr">
        <is>
          <t>True</t>
        </is>
      </c>
    </row>
    <row r="148">
      <c r="A148" t="inlineStr"/>
      <c r="B148" t="inlineStr"/>
    </row>
    <row r="149">
      <c r="A149">
        <f>== SAVE ===</f>
        <v/>
      </c>
      <c r="B149" t="inlineStr"/>
    </row>
    <row r="150">
      <c r="A150" t="inlineStr">
        <is>
          <t>save</t>
        </is>
      </c>
      <c r="B150" t="inlineStr">
        <is>
          <t>True</t>
        </is>
      </c>
    </row>
    <row r="151">
      <c r="A151" t="inlineStr"/>
      <c r="B151" t="inlineStr"/>
    </row>
    <row r="152">
      <c r="A152">
        <f>== BASELINE_METRICS ===</f>
        <v/>
      </c>
      <c r="B152" t="inlineStr"/>
    </row>
    <row r="153">
      <c r="A153" t="inlineStr">
        <is>
          <t>baseline_map50</t>
        </is>
      </c>
      <c r="B153" t="inlineStr">
        <is>
          <t>0.12026989727971038</t>
        </is>
      </c>
    </row>
    <row r="154">
      <c r="A154" t="inlineStr">
        <is>
          <t>baseline_map50_95</t>
        </is>
      </c>
      <c r="B154" t="inlineStr">
        <is>
          <t>0.0</t>
        </is>
      </c>
    </row>
    <row r="155">
      <c r="A155" t="inlineStr">
        <is>
          <t>baseline_precision</t>
        </is>
      </c>
      <c r="B155" t="inlineStr">
        <is>
          <t>0.0</t>
        </is>
      </c>
    </row>
    <row r="156">
      <c r="A156" t="inlineStr">
        <is>
          <t>baseline_recall</t>
        </is>
      </c>
      <c r="B156" t="inlineStr">
        <is>
          <t>0.0</t>
        </is>
      </c>
    </row>
    <row r="157">
      <c r="A157" t="inlineStr">
        <is>
          <t>baseline_player_map50</t>
        </is>
      </c>
      <c r="B157" t="inlineStr">
        <is>
          <t>0.24053979455942076</t>
        </is>
      </c>
    </row>
    <row r="158">
      <c r="A158" t="inlineStr">
        <is>
          <t>baseline_player_precision</t>
        </is>
      </c>
      <c r="B158" t="inlineStr">
        <is>
          <t>0.98</t>
        </is>
      </c>
    </row>
    <row r="159">
      <c r="A159" t="inlineStr">
        <is>
          <t>baseline_player_recall</t>
        </is>
      </c>
      <c r="B159" t="inlineStr">
        <is>
          <t>0.92</t>
        </is>
      </c>
    </row>
    <row r="160">
      <c r="A160" t="inlineStr">
        <is>
          <t>baseline_ball_map50</t>
        </is>
      </c>
      <c r="B160" t="inlineStr">
        <is>
          <t>0.0</t>
        </is>
      </c>
    </row>
    <row r="161">
      <c r="A161" t="inlineStr">
        <is>
          <t>baseline_ball_precision</t>
        </is>
      </c>
      <c r="B161" t="inlineStr">
        <is>
          <t>0.0</t>
        </is>
      </c>
    </row>
    <row r="162">
      <c r="A162" t="inlineStr">
        <is>
          <t>baseline_ball_recall</t>
        </is>
      </c>
      <c r="B162" t="inlineStr">
        <is>
          <t>0.0</t>
        </is>
      </c>
    </row>
    <row r="163">
      <c r="A163" t="inlineStr">
        <is>
          <t>baseline_model_type</t>
        </is>
      </c>
      <c r="B163" t="inlineStr">
        <is>
          <t>Pretrained Player Detection Model</t>
        </is>
      </c>
    </row>
    <row r="164">
      <c r="A164" t="inlineStr">
        <is>
          <t>baseline_classes</t>
        </is>
      </c>
      <c r="B164" t="inlineStr">
        <is>
          <t>Adapted from 1-class (player) to 2-class (player+ball)</t>
        </is>
      </c>
    </row>
    <row r="165">
      <c r="A165" t="inlineStr">
        <is>
          <t>baseline_note</t>
        </is>
      </c>
      <c r="B165" t="inlineStr">
        <is>
          <t>Realistic transfer learning baseline - Player model performance before ball training</t>
        </is>
      </c>
    </row>
    <row r="166">
      <c r="A166" t="inlineStr"/>
      <c r="B16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dataset statistics available</t>
        </is>
      </c>
    </row>
    <row r="3">
      <c r="A3" t="inlineStr">
        <is>
          <t>Dataset stats can be generated during extraction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2025-12-02T10:32:33Z</dcterms:created>
  <dcterms:modified xsi:type="dcterms:W3CDTF">2025-12-02T10:32:33Z</dcterms:modified>
</cp:coreProperties>
</file>